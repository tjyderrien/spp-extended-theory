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141" firstSheet="0" activeTab="0"/>
  </bookViews>
  <sheets>
    <sheet name="Sheet1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<sst xmlns="http://schemas.openxmlformats.org/spreadsheetml/2006/main" count="127" uniqueCount="72">
  <si>
    <t>#Property of Iaroslav Gnilitskyi and Prof. Leonardo Orazi, UNIMORE Italy.</t>
  </si>
  <si>
    <t># Method to measure: ImageJ &gt; OrientationJ &gt; Distribution &gt; Reitz filter</t>
  </si>
  <si>
    <t># This file will be used with ./plot.py to automatically generate the correlation between LSPP and LIPSS regularity</t>
  </si>
  <si>
    <t>Measurements</t>
  </si>
  <si>
    <t>Remark</t>
  </si>
  <si>
    <t>#Material</t>
  </si>
  <si>
    <t>Aperture (deg)</t>
  </si>
  <si>
    <t>dAngle (deg)</t>
  </si>
  <si>
    <t>Wavelength (nm)</t>
  </si>
  <si>
    <t>Pulse (fs)</t>
  </si>
  <si>
    <t>Energy per pulse (uJ)</t>
  </si>
  <si>
    <t>Overlap</t>
  </si>
  <si>
    <t>Epp (J) auto</t>
  </si>
  <si>
    <t>Fluence Iaroslav (J/cm2)</t>
  </si>
  <si>
    <t>Fluence with Jorn def</t>
  </si>
  <si>
    <t>Fluence Iaroslav 2</t>
  </si>
  <si>
    <t>Fluence with Thibs def (J/cm2)</t>
  </si>
  <si>
    <t>Power, mW</t>
  </si>
  <si>
    <t>Repetition(kHz)</t>
  </si>
  <si>
    <t>Scanning(m/s)</t>
  </si>
  <si>
    <t>SpotDiam(um)</t>
  </si>
  <si>
    <t>References</t>
  </si>
  <si>
    <t>Source</t>
  </si>
  <si>
    <t>Magnification</t>
  </si>
  <si>
    <t>Min</t>
  </si>
  <si>
    <t>Max</t>
  </si>
  <si>
    <t>Min2</t>
  </si>
  <si>
    <t>Max2</t>
  </si>
  <si>
    <t>Ag</t>
  </si>
  <si>
    <t>?</t>
  </si>
  <si>
    <t>[Chang2011]</t>
  </si>
  <si>
    <t>Palik</t>
  </si>
  <si>
    <t>#Mo</t>
  </si>
  <si>
    <t>30-40</t>
  </si>
  <si>
    <t>[Cong2015]</t>
  </si>
  <si>
    <t>Ordal</t>
  </si>
  <si>
    <t>Ni</t>
  </si>
  <si>
    <t>[Dostovalov]</t>
  </si>
  <si>
    <t>1026 nm</t>
  </si>
  <si>
    <t>#Ti</t>
  </si>
  <si>
    <t>2-8 1E6</t>
  </si>
  <si>
    <t>~12</t>
  </si>
  <si>
    <t>[Oektem2013]</t>
  </si>
  <si>
    <t>Johnson</t>
  </si>
  <si>
    <t>&gt;&gt; 10000</t>
  </si>
  <si>
    <t>Cr</t>
  </si>
  <si>
    <t>[RuizdelaCruz2014]</t>
  </si>
  <si>
    <t>#Cu</t>
  </si>
  <si>
    <t>[Tan]</t>
  </si>
  <si>
    <t>Cu</t>
  </si>
  <si>
    <t>[Xie2015]</t>
  </si>
  <si>
    <t>#Au</t>
  </si>
  <si>
    <t>[Yadavali]</t>
  </si>
  <si>
    <t>DC voltage</t>
  </si>
  <si>
    <t>[Yao]</t>
  </si>
  <si>
    <t>Mo</t>
  </si>
  <si>
    <t>0.583</t>
  </si>
  <si>
    <t>1.39</t>
  </si>
  <si>
    <t>This work</t>
  </si>
  <si>
    <t>Ordal 1988</t>
  </si>
  <si>
    <t>Ti</t>
  </si>
  <si>
    <t>0.56</t>
  </si>
  <si>
    <t>1.19</t>
  </si>
  <si>
    <t>Al</t>
  </si>
  <si>
    <t>0.93</t>
  </si>
  <si>
    <t>Au</t>
  </si>
  <si>
    <t>1.85</t>
  </si>
  <si>
    <t>3.58</t>
  </si>
  <si>
    <t>Steel</t>
  </si>
  <si>
    <t>0.376</t>
  </si>
  <si>
    <t>0.9</t>
  </si>
  <si>
    <t>Iaroslav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</si>
</sst>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#0.0E+0"/>
    <numFmt numFmtId="166" formatCode="#,##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66CC99"/>
        <bgColor rgb="FF99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66CC99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20"/>
  <sheetViews>
    <sheetView windowProtection="false" showFormulas="false" showGridLines="true" showRowColHeaders="true" showZeros="true" rightToLeft="false" tabSelected="true" showOutlineSymbols="true" defaultGridColor="true" view="normal" topLeftCell="C1" colorId="64" zoomScale="130" zoomScaleNormal="130" zoomScalePageLayoutView="100" workbookViewId="0">
      <selection pane="topLeft" activeCell="G15" activeCellId="0" sqref="G15"/>
    </sheetView>
  </sheetViews>
  <sheetFormatPr defaultRowHeight="12.8"/>
  <cols>
    <col collapsed="false" hidden="false" max="6" min="1" style="0" width="8.8265306122449"/>
    <col collapsed="false" hidden="false" max="9" min="7" style="0" width="10.8367346938776"/>
    <col collapsed="false" hidden="false" max="11" min="10" style="0" width="17.2091836734694"/>
    <col collapsed="false" hidden="false" max="12" min="12" style="0" width="19.3418367346939"/>
    <col collapsed="false" hidden="false" max="13" min="13" style="0" width="12.8316326530612"/>
    <col collapsed="false" hidden="false" max="1025" min="14" style="0" width="8.8265306122449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  <c r="T3" s="1" t="s">
        <v>3</v>
      </c>
      <c r="U3" s="1"/>
      <c r="V3" s="1"/>
      <c r="W3" s="1"/>
      <c r="X3" s="2"/>
      <c r="Y3" s="2" t="s">
        <v>4</v>
      </c>
    </row>
    <row r="4" customFormat="false" ht="12.8" hidden="false" customHeight="false" outlineLevel="0" collapsed="false">
      <c r="A4" s="0" t="s">
        <v>5</v>
      </c>
      <c r="B4" s="0" t="s">
        <v>6</v>
      </c>
      <c r="C4" s="0" t="s">
        <v>7</v>
      </c>
      <c r="D4" s="0" t="s">
        <v>8</v>
      </c>
      <c r="E4" s="0" t="s">
        <v>9</v>
      </c>
      <c r="F4" s="0" t="s">
        <v>10</v>
      </c>
      <c r="G4" s="0" t="s">
        <v>11</v>
      </c>
      <c r="H4" s="2" t="s">
        <v>12</v>
      </c>
      <c r="I4" s="0" t="s">
        <v>13</v>
      </c>
      <c r="J4" s="0" t="s">
        <v>14</v>
      </c>
      <c r="K4" s="0" t="s">
        <v>15</v>
      </c>
      <c r="L4" s="0" t="s">
        <v>16</v>
      </c>
      <c r="M4" s="0" t="s">
        <v>17</v>
      </c>
      <c r="N4" s="0" t="s">
        <v>18</v>
      </c>
      <c r="O4" s="0" t="s">
        <v>19</v>
      </c>
      <c r="P4" s="0" t="s">
        <v>20</v>
      </c>
      <c r="Q4" s="0" t="s">
        <v>21</v>
      </c>
      <c r="R4" s="0" t="s">
        <v>22</v>
      </c>
      <c r="S4" s="0" t="s">
        <v>23</v>
      </c>
      <c r="T4" s="0" t="s">
        <v>24</v>
      </c>
      <c r="U4" s="0" t="s">
        <v>25</v>
      </c>
      <c r="V4" s="0" t="s">
        <v>26</v>
      </c>
      <c r="W4" s="0" t="s">
        <v>27</v>
      </c>
    </row>
    <row r="5" customFormat="false" ht="12.8" hidden="false" customHeight="false" outlineLevel="0" collapsed="false">
      <c r="A5" s="0" t="s">
        <v>28</v>
      </c>
      <c r="B5" s="0" t="n">
        <f aca="false">((U5-T5)/2+(W5-V5)/2)/2</f>
        <v>49.1</v>
      </c>
      <c r="C5" s="0" t="n">
        <f aca="false">ABS(((U5-T5)/2-(W5-V5)/2)/2)</f>
        <v>13.3</v>
      </c>
      <c r="D5" s="0" t="n">
        <v>800</v>
      </c>
      <c r="E5" s="0" t="n">
        <v>120</v>
      </c>
      <c r="I5" s="0" t="s">
        <v>29</v>
      </c>
      <c r="N5" s="0" t="s">
        <v>29</v>
      </c>
      <c r="O5" s="0" t="s">
        <v>29</v>
      </c>
      <c r="P5" s="0" t="s">
        <v>29</v>
      </c>
      <c r="Q5" s="0" t="s">
        <v>30</v>
      </c>
      <c r="R5" s="0" t="s">
        <v>31</v>
      </c>
      <c r="S5" s="0" t="s">
        <v>29</v>
      </c>
      <c r="T5" s="0" t="n">
        <v>-8.8</v>
      </c>
      <c r="U5" s="0" t="n">
        <v>62.8</v>
      </c>
      <c r="V5" s="0" t="n">
        <v>-47.6</v>
      </c>
      <c r="W5" s="0" t="n">
        <v>77.2</v>
      </c>
    </row>
    <row r="6" customFormat="false" ht="12.8" hidden="false" customHeight="false" outlineLevel="0" collapsed="false">
      <c r="A6" s="0" t="s">
        <v>32</v>
      </c>
      <c r="B6" s="0" t="n">
        <f aca="false">((U6-T6)/2+(W6-V6)/2)/2</f>
        <v>9.1</v>
      </c>
      <c r="C6" s="0" t="n">
        <f aca="false">ABS(((U6-T6)/2-(W6-V6)/2)/2)</f>
        <v>0.100000000000001</v>
      </c>
      <c r="D6" s="0" t="n">
        <v>800</v>
      </c>
      <c r="E6" s="0" t="n">
        <v>50</v>
      </c>
      <c r="I6" s="0" t="n">
        <v>0.07</v>
      </c>
      <c r="N6" s="0" t="n">
        <v>1</v>
      </c>
      <c r="O6" s="0" t="n">
        <v>0.0004</v>
      </c>
      <c r="P6" s="0" t="s">
        <v>33</v>
      </c>
      <c r="Q6" s="0" t="s">
        <v>34</v>
      </c>
      <c r="R6" s="0" t="s">
        <v>35</v>
      </c>
      <c r="T6" s="0" t="n">
        <v>84</v>
      </c>
      <c r="U6" s="0" t="n">
        <f aca="false">-78+180</f>
        <v>102</v>
      </c>
      <c r="V6" s="0" t="n">
        <v>84</v>
      </c>
      <c r="W6" s="0" t="n">
        <f aca="false">-77.6+180</f>
        <v>102.4</v>
      </c>
    </row>
    <row r="7" customFormat="false" ht="12.8" hidden="false" customHeight="false" outlineLevel="0" collapsed="false">
      <c r="A7" s="0" t="s">
        <v>36</v>
      </c>
      <c r="B7" s="0" t="n">
        <f aca="false">((U7-T7)/2+(W7-V7)/2)/2</f>
        <v>24.6</v>
      </c>
      <c r="C7" s="0" t="n">
        <f aca="false">ABS(((T7-U7)/2-(V7-W7)/2)/2)</f>
        <v>0.800000000000001</v>
      </c>
      <c r="D7" s="0" t="n">
        <v>1030</v>
      </c>
      <c r="E7" s="0" t="n">
        <v>232</v>
      </c>
      <c r="I7" s="0" t="s">
        <v>29</v>
      </c>
      <c r="N7" s="0" t="s">
        <v>29</v>
      </c>
      <c r="O7" s="0" t="s">
        <v>29</v>
      </c>
      <c r="P7" s="0" t="s">
        <v>29</v>
      </c>
      <c r="Q7" s="0" t="s">
        <v>37</v>
      </c>
      <c r="R7" s="0" t="s">
        <v>31</v>
      </c>
      <c r="S7" s="0" t="s">
        <v>29</v>
      </c>
      <c r="T7" s="0" t="n">
        <v>-27.6</v>
      </c>
      <c r="U7" s="0" t="n">
        <v>23.2</v>
      </c>
      <c r="V7" s="0" t="n">
        <v>-25.2</v>
      </c>
      <c r="W7" s="0" t="n">
        <v>22.4</v>
      </c>
      <c r="Y7" s="0" t="s">
        <v>38</v>
      </c>
    </row>
    <row r="8" customFormat="false" ht="12.8" hidden="false" customHeight="false" outlineLevel="0" collapsed="false">
      <c r="A8" s="0" t="s">
        <v>39</v>
      </c>
      <c r="B8" s="0" t="n">
        <f aca="false">((U8-T8)/2+(W8-V8)/2)/2</f>
        <v>3.6</v>
      </c>
      <c r="C8" s="0" t="n">
        <f aca="false">ABS(((U8-T8)/2-(W8-V8)/2)/2)</f>
        <v>0.2</v>
      </c>
      <c r="D8" s="0" t="n">
        <v>1060</v>
      </c>
      <c r="E8" s="0" t="n">
        <v>100</v>
      </c>
      <c r="I8" s="0" t="n">
        <v>0.1</v>
      </c>
      <c r="N8" s="0" t="n">
        <v>1000</v>
      </c>
      <c r="O8" s="0" t="s">
        <v>40</v>
      </c>
      <c r="P8" s="0" t="s">
        <v>41</v>
      </c>
      <c r="Q8" s="0" t="s">
        <v>42</v>
      </c>
      <c r="R8" s="0" t="s">
        <v>43</v>
      </c>
      <c r="S8" s="0" t="s">
        <v>44</v>
      </c>
      <c r="T8" s="0" t="n">
        <v>-3.6</v>
      </c>
      <c r="U8" s="0" t="n">
        <v>3.2</v>
      </c>
      <c r="V8" s="0" t="n">
        <v>-4</v>
      </c>
      <c r="W8" s="0" t="n">
        <v>3.6</v>
      </c>
    </row>
    <row r="9" customFormat="false" ht="12.8" hidden="false" customHeight="false" outlineLevel="0" collapsed="false">
      <c r="A9" s="0" t="s">
        <v>45</v>
      </c>
      <c r="B9" s="0" t="n">
        <f aca="false">((U9-T9)/2+(W9-V9)/2)/2</f>
        <v>19.8</v>
      </c>
      <c r="C9" s="0" t="n">
        <f aca="false">ABS(((U9-T9)/2-(W9-V9)/2)/2)</f>
        <v>0.6</v>
      </c>
      <c r="D9" s="0" t="n">
        <v>1030</v>
      </c>
      <c r="E9" s="0" t="n">
        <v>500</v>
      </c>
      <c r="I9" s="0" t="n">
        <v>0.038</v>
      </c>
      <c r="N9" s="0" t="n">
        <v>250</v>
      </c>
      <c r="O9" s="0" t="n">
        <v>1.5</v>
      </c>
      <c r="P9" s="0" t="n">
        <v>80</v>
      </c>
      <c r="Q9" s="0" t="s">
        <v>46</v>
      </c>
      <c r="R9" s="0" t="s">
        <v>31</v>
      </c>
      <c r="S9" s="0" t="s">
        <v>44</v>
      </c>
      <c r="T9" s="0" t="n">
        <v>-20.4</v>
      </c>
      <c r="U9" s="0" t="n">
        <v>18</v>
      </c>
      <c r="V9" s="0" t="n">
        <v>-22</v>
      </c>
      <c r="W9" s="0" t="n">
        <v>18.8</v>
      </c>
    </row>
    <row r="10" customFormat="false" ht="12.8" hidden="false" customHeight="false" outlineLevel="0" collapsed="false">
      <c r="A10" s="0" t="s">
        <v>45</v>
      </c>
      <c r="B10" s="0" t="n">
        <f aca="false">((U10-T10)/2+(W10-V10)/2)/2</f>
        <v>12.7</v>
      </c>
      <c r="C10" s="0" t="n">
        <f aca="false">ABS(((U10-T10)/2-(W10-V10)/2)/2)</f>
        <v>0.100000000000001</v>
      </c>
      <c r="D10" s="0" t="n">
        <v>1030</v>
      </c>
      <c r="E10" s="0" t="n">
        <v>500</v>
      </c>
      <c r="I10" s="0" t="n">
        <v>0.038</v>
      </c>
      <c r="N10" s="0" t="n">
        <v>250</v>
      </c>
      <c r="O10" s="0" t="n">
        <v>1.5</v>
      </c>
      <c r="P10" s="0" t="n">
        <v>80</v>
      </c>
      <c r="Q10" s="0" t="s">
        <v>46</v>
      </c>
      <c r="R10" s="0" t="s">
        <v>31</v>
      </c>
      <c r="S10" s="0" t="s">
        <v>29</v>
      </c>
      <c r="T10" s="0" t="n">
        <v>-11.6</v>
      </c>
      <c r="U10" s="0" t="n">
        <v>14</v>
      </c>
      <c r="V10" s="0" t="n">
        <v>-11.2</v>
      </c>
      <c r="W10" s="0" t="n">
        <v>14</v>
      </c>
    </row>
    <row r="11" customFormat="false" ht="12.8" hidden="false" customHeight="false" outlineLevel="0" collapsed="false">
      <c r="A11" s="0" t="s">
        <v>47</v>
      </c>
      <c r="B11" s="0" t="n">
        <f aca="false">((U11-T11)/2+(W11-V11)/2)/2</f>
        <v>26.6</v>
      </c>
      <c r="C11" s="0" t="n">
        <f aca="false">ABS(((T11-U11)/2-(V11-W11)/2)/2)</f>
        <v>1.6</v>
      </c>
      <c r="D11" s="0" t="s">
        <v>29</v>
      </c>
      <c r="E11" s="0" t="s">
        <v>29</v>
      </c>
      <c r="I11" s="0" t="s">
        <v>29</v>
      </c>
      <c r="N11" s="0" t="s">
        <v>29</v>
      </c>
      <c r="O11" s="0" t="s">
        <v>29</v>
      </c>
      <c r="P11" s="0" t="s">
        <v>29</v>
      </c>
      <c r="Q11" s="0" t="s">
        <v>48</v>
      </c>
      <c r="R11" s="0" t="s">
        <v>31</v>
      </c>
      <c r="S11" s="0" t="s">
        <v>29</v>
      </c>
      <c r="T11" s="0" t="n">
        <v>-30.8</v>
      </c>
      <c r="U11" s="0" t="n">
        <v>19.2</v>
      </c>
      <c r="V11" s="0" t="n">
        <v>-32.8</v>
      </c>
      <c r="W11" s="0" t="n">
        <v>23.6</v>
      </c>
    </row>
    <row r="12" customFormat="false" ht="12.8" hidden="false" customHeight="false" outlineLevel="0" collapsed="false">
      <c r="A12" s="0" t="s">
        <v>49</v>
      </c>
      <c r="B12" s="0" t="n">
        <f aca="false">((U12-T12)/2+(W12-V12)/2)/2</f>
        <v>24.5</v>
      </c>
      <c r="C12" s="0" t="n">
        <f aca="false">ABS(((T12-U12)/2-(V12-W12)/2)/2)</f>
        <v>1.1</v>
      </c>
      <c r="D12" s="0" t="n">
        <v>800</v>
      </c>
      <c r="E12" s="0" t="n">
        <v>35</v>
      </c>
      <c r="I12" s="0" t="s">
        <v>29</v>
      </c>
      <c r="N12" s="0" t="s">
        <v>29</v>
      </c>
      <c r="O12" s="0" t="s">
        <v>29</v>
      </c>
      <c r="P12" s="0" t="s">
        <v>29</v>
      </c>
      <c r="Q12" s="0" t="s">
        <v>50</v>
      </c>
      <c r="R12" s="0" t="s">
        <v>31</v>
      </c>
      <c r="S12" s="0" t="s">
        <v>29</v>
      </c>
      <c r="T12" s="0" t="n">
        <v>61.2</v>
      </c>
      <c r="U12" s="0" t="n">
        <f aca="false">-72+180</f>
        <v>108</v>
      </c>
      <c r="V12" s="0" t="n">
        <v>58.8</v>
      </c>
      <c r="W12" s="0" t="n">
        <f aca="false">-70+180</f>
        <v>110</v>
      </c>
    </row>
    <row r="13" customFormat="false" ht="12.8" hidden="false" customHeight="false" outlineLevel="0" collapsed="false">
      <c r="A13" s="0" t="s">
        <v>51</v>
      </c>
      <c r="B13" s="0" t="n">
        <f aca="false">((U13-T13)/2+(W13-V13)/2)/2</f>
        <v>44.8</v>
      </c>
      <c r="C13" s="0" t="n">
        <f aca="false">ABS(((T13-U13)/2-(V13-W13)/2)/2)</f>
        <v>2.2</v>
      </c>
      <c r="D13" s="0" t="n">
        <v>266</v>
      </c>
      <c r="E13" s="0" t="s">
        <v>29</v>
      </c>
      <c r="I13" s="0" t="s">
        <v>29</v>
      </c>
      <c r="N13" s="0" t="s">
        <v>29</v>
      </c>
      <c r="O13" s="0" t="s">
        <v>29</v>
      </c>
      <c r="P13" s="0" t="s">
        <v>29</v>
      </c>
      <c r="Q13" s="0" t="s">
        <v>52</v>
      </c>
      <c r="R13" s="0" t="s">
        <v>31</v>
      </c>
      <c r="S13" s="0" t="s">
        <v>29</v>
      </c>
      <c r="T13" s="0" t="n">
        <v>70</v>
      </c>
      <c r="U13" s="0" t="n">
        <f aca="false">-24.8+180</f>
        <v>155.2</v>
      </c>
      <c r="V13" s="0" t="n">
        <v>64.4</v>
      </c>
      <c r="W13" s="0" t="n">
        <f aca="false">-21.6+180</f>
        <v>158.4</v>
      </c>
      <c r="Y13" s="0" t="s">
        <v>53</v>
      </c>
    </row>
    <row r="14" customFormat="false" ht="12.8" hidden="false" customHeight="false" outlineLevel="0" collapsed="false">
      <c r="A14" s="0" t="s">
        <v>36</v>
      </c>
      <c r="B14" s="0" t="n">
        <f aca="false">((U14-T14)/2+(W14-V14)/2)/2</f>
        <v>13</v>
      </c>
      <c r="C14" s="0" t="n">
        <f aca="false">ABS(((T14-U14)/2-(V14-W14)/2)/2)</f>
        <v>0.199999999999999</v>
      </c>
      <c r="D14" s="0" t="n">
        <v>800</v>
      </c>
      <c r="E14" s="0" t="n">
        <v>90</v>
      </c>
      <c r="I14" s="0" t="s">
        <v>29</v>
      </c>
      <c r="N14" s="0" t="s">
        <v>29</v>
      </c>
      <c r="O14" s="0" t="s">
        <v>29</v>
      </c>
      <c r="P14" s="0" t="s">
        <v>29</v>
      </c>
      <c r="Q14" s="0" t="s">
        <v>54</v>
      </c>
      <c r="R14" s="0" t="s">
        <v>31</v>
      </c>
      <c r="S14" s="0" t="s">
        <v>29</v>
      </c>
      <c r="T14" s="0" t="n">
        <v>78.4</v>
      </c>
      <c r="U14" s="0" t="n">
        <f aca="false">-75.2+180</f>
        <v>104.8</v>
      </c>
      <c r="V14" s="0" t="n">
        <v>78.4</v>
      </c>
      <c r="W14" s="0" t="n">
        <f aca="false">-76+180</f>
        <v>104</v>
      </c>
    </row>
    <row r="15" customFormat="false" ht="12.8" hidden="false" customHeight="false" outlineLevel="0" collapsed="false">
      <c r="A15" s="0" t="s">
        <v>55</v>
      </c>
      <c r="B15" s="0" t="n">
        <v>6</v>
      </c>
      <c r="C15" s="0" t="n">
        <v>0.2</v>
      </c>
      <c r="D15" s="3" t="n">
        <v>1030</v>
      </c>
      <c r="E15" s="3" t="n">
        <v>213</v>
      </c>
      <c r="F15" s="3" t="s">
        <v>56</v>
      </c>
      <c r="G15" s="3" t="n">
        <f aca="false">O15/(N15*1000)/(P15*0.000001/2)</f>
        <v>1.36239782016349</v>
      </c>
      <c r="H15" s="4" t="n">
        <f aca="false">(M15*0.001)/(N15*1000)</f>
        <v>5.83333333333333E-007</v>
      </c>
      <c r="I15" s="5" t="s">
        <v>57</v>
      </c>
      <c r="J15" s="5" t="n">
        <f aca="false">-H15/((P15*0.000001/2)^2*PI()*(-1+EXP(-2)))*0.0001</f>
        <v>1.59436244152105</v>
      </c>
      <c r="K15" s="5" t="n">
        <f aca="false">H15/(PI()*(P15*0.000001/2)^2)*0.0001</f>
        <v>1.37858894891598</v>
      </c>
      <c r="L15" s="5" t="n">
        <f aca="false">H15*LN(2)/(ERF(SQRT(LN(2)))^2*PI()*(P15*0.000001/2)^2)*0.0001</f>
        <v>1.65016488508337</v>
      </c>
      <c r="M15" s="6" t="n">
        <v>350</v>
      </c>
      <c r="N15" s="3" t="n">
        <v>600</v>
      </c>
      <c r="O15" s="3" t="n">
        <v>3</v>
      </c>
      <c r="P15" s="3" t="n">
        <v>7.34</v>
      </c>
      <c r="Q15" s="0" t="s">
        <v>58</v>
      </c>
      <c r="R15" s="0" t="s">
        <v>59</v>
      </c>
      <c r="S15" s="0" t="n">
        <v>10000</v>
      </c>
    </row>
    <row r="16" customFormat="false" ht="12.8" hidden="false" customHeight="false" outlineLevel="0" collapsed="false">
      <c r="A16" s="0" t="s">
        <v>60</v>
      </c>
      <c r="B16" s="0" t="n">
        <f aca="false">((U16-T16)/2+(W16-V16)/2)/2</f>
        <v>11.7</v>
      </c>
      <c r="C16" s="0" t="n">
        <f aca="false">ABS(((U16-T16)/2-(W16-V16)/2)/2)</f>
        <v>0.0999999999999996</v>
      </c>
      <c r="D16" s="3" t="n">
        <v>1030</v>
      </c>
      <c r="E16" s="3" t="n">
        <v>213</v>
      </c>
      <c r="F16" s="3" t="s">
        <v>61</v>
      </c>
      <c r="G16" s="3" t="n">
        <f aca="false">O16/(N16*1000)/(P16*0.000001)</f>
        <v>0.681198910081744</v>
      </c>
      <c r="H16" s="4" t="n">
        <f aca="false">(M16*0.001)/(N16*1000)</f>
        <v>5E-007</v>
      </c>
      <c r="I16" s="5" t="s">
        <v>62</v>
      </c>
      <c r="J16" s="5" t="n">
        <f aca="false">-H16/((P16*0.000001/2)^2*PI()*(-1+EXP(-2)))*0.0001</f>
        <v>1.36659637844661</v>
      </c>
      <c r="K16" s="5" t="n">
        <f aca="false">H16/(PI()*(P16*0.000001/2)^2)*0.0001</f>
        <v>1.18164767049941</v>
      </c>
      <c r="L16" s="5" t="n">
        <f aca="false">H16*LN(2)/(ERF(SQRT(LN(2)))^2*PI()*(P16*0.000001/2)^2)*0.0001</f>
        <v>1.41442704435718</v>
      </c>
      <c r="M16" s="6" t="n">
        <v>300</v>
      </c>
      <c r="N16" s="3" t="n">
        <v>600</v>
      </c>
      <c r="O16" s="3" t="n">
        <v>3</v>
      </c>
      <c r="P16" s="3" t="n">
        <v>7.34</v>
      </c>
      <c r="Q16" s="0" t="s">
        <v>58</v>
      </c>
      <c r="R16" s="0" t="s">
        <v>43</v>
      </c>
      <c r="S16" s="0" t="n">
        <v>10000</v>
      </c>
      <c r="T16" s="0" t="n">
        <v>46.8</v>
      </c>
      <c r="U16" s="0" t="n">
        <v>70</v>
      </c>
      <c r="V16" s="0" t="n">
        <v>46.4</v>
      </c>
      <c r="W16" s="0" t="n">
        <v>70</v>
      </c>
    </row>
    <row r="17" customFormat="false" ht="12.8" hidden="false" customHeight="false" outlineLevel="0" collapsed="false">
      <c r="A17" s="0" t="s">
        <v>63</v>
      </c>
      <c r="B17" s="0" t="n">
        <f aca="false">((U17-T17)/2+(W17-V17)/2)/2</f>
        <v>31.7</v>
      </c>
      <c r="C17" s="0" t="n">
        <f aca="false">ABS(((U17-T17)/2-(W17-V17)/2)/2)</f>
        <v>1.5</v>
      </c>
      <c r="D17" s="3" t="n">
        <v>1030</v>
      </c>
      <c r="E17" s="3" t="n">
        <v>213</v>
      </c>
      <c r="F17" s="3" t="s">
        <v>64</v>
      </c>
      <c r="G17" s="3" t="n">
        <f aca="false">O17/(N17*1000)/(P17*0.000001)</f>
        <v>0.681198910081744</v>
      </c>
      <c r="H17" s="4" t="n">
        <f aca="false">(M17*0.001)/(N17*1000)</f>
        <v>9.16666666666667E-007</v>
      </c>
      <c r="I17" s="7" t="n">
        <v>2207</v>
      </c>
      <c r="J17" s="5" t="n">
        <f aca="false">-H17/((P17*0.000001/2)^2*PI()*(-1+EXP(-2)))*0.0001</f>
        <v>2.50542669381879</v>
      </c>
      <c r="K17" s="5" t="n">
        <f aca="false">H17/(PI()*(P17*0.000001/2)^2)*0.0001</f>
        <v>2.16635406258226</v>
      </c>
      <c r="L17" s="5" t="n">
        <f aca="false">H17*LN(2)/(ERF(SQRT(LN(2)))^2*PI()*(P17*0.000001/2)^2)*0.0001</f>
        <v>2.59311624798816</v>
      </c>
      <c r="M17" s="8" t="n">
        <v>550</v>
      </c>
      <c r="N17" s="3" t="n">
        <v>600</v>
      </c>
      <c r="O17" s="3" t="n">
        <v>3</v>
      </c>
      <c r="P17" s="3" t="n">
        <v>7.34</v>
      </c>
      <c r="Q17" s="0" t="s">
        <v>58</v>
      </c>
      <c r="R17" s="0" t="s">
        <v>31</v>
      </c>
      <c r="S17" s="0" t="n">
        <v>10000</v>
      </c>
      <c r="T17" s="0" t="n">
        <v>15.2</v>
      </c>
      <c r="U17" s="0" t="n">
        <v>75.6</v>
      </c>
      <c r="V17" s="0" t="n">
        <v>12</v>
      </c>
      <c r="W17" s="0" t="n">
        <v>78.4</v>
      </c>
    </row>
    <row r="18" customFormat="false" ht="12.8" hidden="false" customHeight="false" outlineLevel="0" collapsed="false">
      <c r="A18" s="0" t="s">
        <v>65</v>
      </c>
      <c r="B18" s="0" t="n">
        <f aca="false">((U18-T18)/2+(W18-V18)/2)/2</f>
        <v>49.7</v>
      </c>
      <c r="C18" s="0" t="n">
        <f aca="false">(((U18-T18)/2-(W18-V18)/2)/2)</f>
        <v>0.699999999999999</v>
      </c>
      <c r="D18" s="3" t="n">
        <v>1030</v>
      </c>
      <c r="E18" s="3" t="n">
        <v>213</v>
      </c>
      <c r="F18" s="3" t="s">
        <v>29</v>
      </c>
      <c r="G18" s="3" t="n">
        <f aca="false">O18/(N18*1000)/(P18*0.000001)</f>
        <v>0.681198910081744</v>
      </c>
      <c r="H18" s="4" t="n">
        <f aca="false">(M18*0.001)/(N18*1000)</f>
        <v>4.08333333333333E-006</v>
      </c>
      <c r="I18" s="7" t="n">
        <v>9756</v>
      </c>
      <c r="J18" s="5" t="n">
        <f aca="false">-H18/((P18*0.000001/2)^2*PI()*(-1+EXP(-2)))*0.0001</f>
        <v>11.1605370906474</v>
      </c>
      <c r="K18" s="5" t="n">
        <f aca="false">H18/(PI()*(P18*0.000001/2)^2)*0.0001</f>
        <v>9.65012264241187</v>
      </c>
      <c r="L18" s="5" t="n">
        <f aca="false">H18*LN(2)/(ERF(SQRT(LN(2)))^2*PI()*(P18*0.000001/2)^2)*0.0001</f>
        <v>11.5511541955836</v>
      </c>
      <c r="M18" s="6" t="n">
        <v>2450</v>
      </c>
      <c r="N18" s="3" t="n">
        <v>600</v>
      </c>
      <c r="O18" s="3" t="n">
        <v>3</v>
      </c>
      <c r="P18" s="3" t="n">
        <v>7.34</v>
      </c>
      <c r="Q18" s="0" t="s">
        <v>58</v>
      </c>
      <c r="R18" s="0" t="s">
        <v>31</v>
      </c>
      <c r="S18" s="0" t="n">
        <v>10000</v>
      </c>
      <c r="T18" s="0" t="n">
        <v>-16.8</v>
      </c>
      <c r="U18" s="0" t="n">
        <v>84</v>
      </c>
      <c r="V18" s="0" t="n">
        <v>-13.6</v>
      </c>
      <c r="W18" s="0" t="n">
        <v>84.4</v>
      </c>
    </row>
    <row r="19" customFormat="false" ht="12.8" hidden="false" customHeight="false" outlineLevel="0" collapsed="false">
      <c r="A19" s="0" t="s">
        <v>49</v>
      </c>
      <c r="B19" s="0" t="n">
        <f aca="false">((U19-T19)/2+(W19-V19)/2)/2</f>
        <v>38.7</v>
      </c>
      <c r="C19" s="0" t="n">
        <f aca="false">ABS(((U19-T19)/2-(W19-V19)/2)/2)</f>
        <v>2.9</v>
      </c>
      <c r="D19" s="3" t="n">
        <v>1030</v>
      </c>
      <c r="E19" s="3" t="n">
        <v>213</v>
      </c>
      <c r="F19" s="3" t="s">
        <v>66</v>
      </c>
      <c r="G19" s="3" t="n">
        <f aca="false">O19/(N19*1000)/(P19*0.000001)</f>
        <v>0.681198910081744</v>
      </c>
      <c r="H19" s="4" t="n">
        <f aca="false">(M19*0.001)/(N19*1000)</f>
        <v>1.5E-006</v>
      </c>
      <c r="I19" s="5" t="s">
        <v>67</v>
      </c>
      <c r="J19" s="5" t="n">
        <f aca="false">-H19/((P19*0.000001/2)^2*PI()*(-1+EXP(-2)))*0.0001</f>
        <v>4.09978913533984</v>
      </c>
      <c r="K19" s="5" t="n">
        <f aca="false">H19/(PI()*(P19*0.000001/2)^2)*0.0001</f>
        <v>3.54494301149824</v>
      </c>
      <c r="L19" s="5" t="n">
        <f aca="false">H19*LN(2)/(ERF(SQRT(LN(2)))^2*PI()*(P19*0.000001/2)^2)*0.0001</f>
        <v>4.24328113307153</v>
      </c>
      <c r="M19" s="6" t="n">
        <v>900</v>
      </c>
      <c r="N19" s="3" t="n">
        <v>600</v>
      </c>
      <c r="O19" s="3" t="n">
        <v>3</v>
      </c>
      <c r="P19" s="3" t="n">
        <v>7.34</v>
      </c>
      <c r="Q19" s="0" t="s">
        <v>58</v>
      </c>
      <c r="R19" s="0" t="s">
        <v>31</v>
      </c>
      <c r="S19" s="0" t="n">
        <v>10000</v>
      </c>
      <c r="T19" s="0" t="n">
        <v>-24.8</v>
      </c>
      <c r="U19" s="0" t="n">
        <v>46.8</v>
      </c>
      <c r="V19" s="0" t="n">
        <v>-27.6</v>
      </c>
      <c r="W19" s="0" t="n">
        <v>55.6</v>
      </c>
    </row>
    <row r="20" customFormat="false" ht="12.8" hidden="false" customHeight="false" outlineLevel="0" collapsed="false">
      <c r="A20" s="0" t="s">
        <v>68</v>
      </c>
      <c r="B20" s="0" t="n">
        <f aca="false">((U20-T20)/2+(W20-V20)/2)/2</f>
        <v>14.6</v>
      </c>
      <c r="C20" s="0" t="n">
        <f aca="false">ABS(((U20-T20)/2-(W20-V20)/2)/2)</f>
        <v>0.8</v>
      </c>
      <c r="D20" s="3" t="n">
        <v>1030</v>
      </c>
      <c r="E20" s="3" t="n">
        <v>213</v>
      </c>
      <c r="F20" s="3" t="s">
        <v>69</v>
      </c>
      <c r="G20" s="3" t="n">
        <f aca="false">O20/(N20*1000)/(P20*0.000001)</f>
        <v>0.681198910081744</v>
      </c>
      <c r="H20" s="4" t="n">
        <f aca="false">(M20*0.001)/(N20*1000)</f>
        <v>3.83333333333333E-007</v>
      </c>
      <c r="I20" s="5" t="s">
        <v>70</v>
      </c>
      <c r="J20" s="5" t="n">
        <f aca="false">-H20/((P20*0.000001/2)^2*PI()*(-1+EXP(-2)))*0.0001</f>
        <v>1.0477238901424</v>
      </c>
      <c r="K20" s="5" t="n">
        <f aca="false">H20/(PI()*(P20*0.000001/2)^2)*0.0001</f>
        <v>0.905929880716216</v>
      </c>
      <c r="L20" s="5" t="n">
        <f aca="false">H20*LN(2)/(ERF(SQRT(LN(2)))^2*PI()*(P20*0.000001/2)^2)*0.0001</f>
        <v>1.0843940673405</v>
      </c>
      <c r="M20" s="6" t="n">
        <v>230</v>
      </c>
      <c r="N20" s="3" t="n">
        <v>600</v>
      </c>
      <c r="O20" s="3" t="n">
        <v>3</v>
      </c>
      <c r="P20" s="3" t="n">
        <v>7.34</v>
      </c>
      <c r="Q20" s="0" t="s">
        <v>58</v>
      </c>
      <c r="R20" s="0" t="s">
        <v>71</v>
      </c>
      <c r="S20" s="0" t="n">
        <v>10000</v>
      </c>
      <c r="T20" s="0" t="n">
        <v>-9.6</v>
      </c>
      <c r="U20" s="0" t="n">
        <v>18</v>
      </c>
      <c r="V20" s="0" t="n">
        <v>-10.8</v>
      </c>
      <c r="W20" s="0" t="n">
        <v>20</v>
      </c>
    </row>
  </sheetData>
  <mergeCells count="1">
    <mergeCell ref="T3:W3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2161</TotalTime>
  <Application>LibreOffice/4.2.8.2$Linux_X86_64 LibreOffice_project/420m0$Build-2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2016-06-28T16:07:37Z</dcterms:created>
  <dc:language>en-US</dc:language>
  <cp:lastModifiedBy>Iaroslav</cp:lastModifiedBy>
  <dcterms:modified xsi:type="dcterms:W3CDTF">2016-07-20T13:23:44Z</dcterms:modified>
  <cp:revision>21</cp:revision>
</cp:coreProperties>
</file>