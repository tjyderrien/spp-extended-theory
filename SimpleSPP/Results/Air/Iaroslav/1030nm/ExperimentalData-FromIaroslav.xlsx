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17"/>
  <workbookPr/>
  <mc:AlternateContent xmlns:mc="http://schemas.openxmlformats.org/markup-compatibility/2006">
    <mc:Choice Requires="x15">
      <x15ac:absPath xmlns:x15ac="http://schemas.microsoft.com/office/spreadsheetml/2010/11/ac" url="/Users/jjyaroslav/Desktop/"/>
    </mc:Choice>
  </mc:AlternateContent>
  <bookViews>
    <workbookView xWindow="8880" yWindow="920" windowWidth="16380" windowHeight="8200" tabRatio="141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1" l="1"/>
  <c r="B20" i="1"/>
  <c r="C19" i="1"/>
  <c r="B19" i="1"/>
  <c r="C18" i="1"/>
  <c r="B18" i="1"/>
  <c r="C17" i="1"/>
  <c r="B17" i="1"/>
  <c r="C16" i="1"/>
  <c r="B16" i="1"/>
  <c r="Q14" i="1"/>
  <c r="O14" i="1"/>
  <c r="C14" i="1"/>
  <c r="B14" i="1"/>
  <c r="Q13" i="1"/>
  <c r="O13" i="1"/>
  <c r="C13" i="1"/>
  <c r="B13" i="1"/>
  <c r="Q12" i="1"/>
  <c r="O12" i="1"/>
  <c r="C12" i="1"/>
  <c r="B12" i="1"/>
  <c r="C11" i="1"/>
  <c r="B11" i="1"/>
  <c r="C10" i="1"/>
  <c r="B10" i="1"/>
  <c r="C9" i="1"/>
  <c r="B9" i="1"/>
  <c r="C8" i="1"/>
  <c r="B8" i="1"/>
  <c r="C7" i="1"/>
  <c r="B7" i="1"/>
  <c r="Q6" i="1"/>
  <c r="O6" i="1"/>
  <c r="C6" i="1"/>
  <c r="B6" i="1"/>
  <c r="C5" i="1"/>
  <c r="B5" i="1"/>
</calcChain>
</file>

<file path=xl/sharedStrings.xml><?xml version="1.0" encoding="utf-8"?>
<sst xmlns="http://schemas.openxmlformats.org/spreadsheetml/2006/main" count="121" uniqueCount="66">
  <si>
    <t>#Property of Iaroslav Gnilitskyi and Prof. Leonardo Orazi, UNIMORE Italy.</t>
  </si>
  <si>
    <t># Method to measure: ImageJ &gt; OrientationJ &gt; Distribution &gt; Reitz filter</t>
  </si>
  <si>
    <t># This file will be used with ./plot.py to automatically generate the correlation between LSPP and LIPSS regularity</t>
  </si>
  <si>
    <t>Measurements</t>
  </si>
  <si>
    <t>Remark</t>
  </si>
  <si>
    <t>#Material</t>
  </si>
  <si>
    <t>Aperture (deg)</t>
  </si>
  <si>
    <t>dAngle (deg)</t>
  </si>
  <si>
    <t>Wavelength (nm)</t>
  </si>
  <si>
    <t>Pulse (fs)</t>
  </si>
  <si>
    <t>Energy per pulse</t>
  </si>
  <si>
    <t>Fluence(J/cm2)</t>
  </si>
  <si>
    <t>Repetition(kHz)</t>
  </si>
  <si>
    <t>Scanning(m/s)</t>
  </si>
  <si>
    <t>SpotDiam(um)</t>
  </si>
  <si>
    <t>References</t>
  </si>
  <si>
    <t>Source</t>
  </si>
  <si>
    <t>Magnification</t>
  </si>
  <si>
    <t>Min</t>
  </si>
  <si>
    <t>Max</t>
  </si>
  <si>
    <t>Min2</t>
  </si>
  <si>
    <t>Max2</t>
  </si>
  <si>
    <t>Ag</t>
  </si>
  <si>
    <t>?</t>
  </si>
  <si>
    <t>[Chang2011]</t>
  </si>
  <si>
    <t>Palik</t>
  </si>
  <si>
    <t>#Mo</t>
  </si>
  <si>
    <t>30-40</t>
  </si>
  <si>
    <t>[Cong2015]</t>
  </si>
  <si>
    <t>Ordal</t>
  </si>
  <si>
    <t>Ni</t>
  </si>
  <si>
    <t>[Dostovalov]</t>
  </si>
  <si>
    <t>1026 nm</t>
  </si>
  <si>
    <t>#Ti</t>
  </si>
  <si>
    <t>2-8 1E6</t>
  </si>
  <si>
    <t>~12</t>
  </si>
  <si>
    <t>[Oektem2013]</t>
  </si>
  <si>
    <t>Johnson</t>
  </si>
  <si>
    <t>&gt;&gt; 10000</t>
  </si>
  <si>
    <t>Cr</t>
  </si>
  <si>
    <t>[RuizdelaCruz2014]</t>
  </si>
  <si>
    <t>#Cu</t>
  </si>
  <si>
    <t>[Tan]</t>
  </si>
  <si>
    <t>Cu</t>
  </si>
  <si>
    <t>[Xie2015]</t>
  </si>
  <si>
    <t>#Au</t>
  </si>
  <si>
    <t>[Yadavali]</t>
  </si>
  <si>
    <t>DC voltage</t>
  </si>
  <si>
    <t>[Yao]</t>
  </si>
  <si>
    <t>Mo</t>
  </si>
  <si>
    <t>This work</t>
  </si>
  <si>
    <t>Ordal 1988</t>
  </si>
  <si>
    <t>Ti</t>
  </si>
  <si>
    <t>Al</t>
  </si>
  <si>
    <t>Au</t>
  </si>
  <si>
    <t>Steel</t>
  </si>
  <si>
    <t>Iaroslav</t>
  </si>
  <si>
    <t>4.4</t>
  </si>
  <si>
    <t>0.9</t>
  </si>
  <si>
    <t>1.39</t>
  </si>
  <si>
    <t>0.583</t>
  </si>
  <si>
    <t>1.19</t>
  </si>
  <si>
    <t>0.56</t>
  </si>
  <si>
    <t>0.93</t>
  </si>
  <si>
    <t>1.85</t>
  </si>
  <si>
    <t>0.376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</si>
</sst>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CC99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CC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topLeftCell="A11" zoomScale="130" zoomScaleNormal="130" zoomScalePageLayoutView="130" workbookViewId="0">
      <selection activeCell="I20" sqref="I20"/>
    </sheetView>
  </sheetViews>
  <sheetFormatPr baseColWidth="10" defaultColWidth="8.83203125" defaultRowHeight="13" x14ac:dyDescent="0.15"/>
  <sheetData>
    <row r="1" spans="1:19" x14ac:dyDescent="0.15">
      <c r="A1" t="s">
        <v>0</v>
      </c>
    </row>
    <row r="2" spans="1:19" x14ac:dyDescent="0.15">
      <c r="A2" t="s">
        <v>1</v>
      </c>
    </row>
    <row r="3" spans="1:19" x14ac:dyDescent="0.15">
      <c r="A3" t="s">
        <v>2</v>
      </c>
      <c r="N3" s="1" t="s">
        <v>3</v>
      </c>
      <c r="O3" s="1"/>
      <c r="P3" s="1"/>
      <c r="Q3" s="1"/>
      <c r="R3" s="2"/>
      <c r="S3" s="2" t="s">
        <v>4</v>
      </c>
    </row>
    <row r="4" spans="1:19" x14ac:dyDescent="0.1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</row>
    <row r="5" spans="1:19" x14ac:dyDescent="0.15">
      <c r="A5" t="s">
        <v>22</v>
      </c>
      <c r="B5">
        <f t="shared" ref="B5:B14" si="0">((O5-N5)/2+(Q5-P5)/2)/2</f>
        <v>49.1</v>
      </c>
      <c r="C5">
        <f>ABS(((O5-N5)/2-(Q5-P5)/2)/2)</f>
        <v>13.300000000000004</v>
      </c>
      <c r="D5">
        <v>800</v>
      </c>
      <c r="E5">
        <v>120</v>
      </c>
      <c r="G5" t="s">
        <v>23</v>
      </c>
      <c r="H5" t="s">
        <v>23</v>
      </c>
      <c r="I5" t="s">
        <v>23</v>
      </c>
      <c r="J5" t="s">
        <v>23</v>
      </c>
      <c r="K5" t="s">
        <v>24</v>
      </c>
      <c r="L5" t="s">
        <v>25</v>
      </c>
      <c r="M5" t="s">
        <v>23</v>
      </c>
      <c r="N5">
        <v>-8.8000000000000007</v>
      </c>
      <c r="O5">
        <v>62.8</v>
      </c>
      <c r="P5">
        <v>-47.6</v>
      </c>
      <c r="Q5">
        <v>77.2</v>
      </c>
    </row>
    <row r="6" spans="1:19" x14ac:dyDescent="0.15">
      <c r="A6" t="s">
        <v>26</v>
      </c>
      <c r="B6">
        <f t="shared" si="0"/>
        <v>9.1000000000000014</v>
      </c>
      <c r="C6">
        <f>ABS(((O6-N6)/2-(Q6-P6)/2)/2)</f>
        <v>0.10000000000000142</v>
      </c>
      <c r="D6">
        <v>800</v>
      </c>
      <c r="E6">
        <v>50</v>
      </c>
      <c r="G6">
        <v>7.0000000000000007E-2</v>
      </c>
      <c r="H6">
        <v>1</v>
      </c>
      <c r="I6">
        <v>4.0000000000000002E-4</v>
      </c>
      <c r="J6" t="s">
        <v>27</v>
      </c>
      <c r="K6" t="s">
        <v>28</v>
      </c>
      <c r="L6" t="s">
        <v>29</v>
      </c>
      <c r="N6">
        <v>84</v>
      </c>
      <c r="O6">
        <f>-78+180</f>
        <v>102</v>
      </c>
      <c r="P6">
        <v>84</v>
      </c>
      <c r="Q6">
        <f>-77.6+180</f>
        <v>102.4</v>
      </c>
    </row>
    <row r="7" spans="1:19" x14ac:dyDescent="0.15">
      <c r="A7" t="s">
        <v>30</v>
      </c>
      <c r="B7">
        <f t="shared" si="0"/>
        <v>24.599999999999998</v>
      </c>
      <c r="C7">
        <f>ABS(((N7-O7)/2-(P7-Q7)/2)/2)</f>
        <v>0.80000000000000071</v>
      </c>
      <c r="D7">
        <v>1030</v>
      </c>
      <c r="E7">
        <v>232</v>
      </c>
      <c r="G7" t="s">
        <v>23</v>
      </c>
      <c r="H7" t="s">
        <v>23</v>
      </c>
      <c r="I7" t="s">
        <v>23</v>
      </c>
      <c r="J7" t="s">
        <v>23</v>
      </c>
      <c r="K7" t="s">
        <v>31</v>
      </c>
      <c r="L7" t="s">
        <v>25</v>
      </c>
      <c r="M7" t="s">
        <v>23</v>
      </c>
      <c r="N7">
        <v>-27.6</v>
      </c>
      <c r="O7">
        <v>23.2</v>
      </c>
      <c r="P7">
        <v>-25.2</v>
      </c>
      <c r="Q7">
        <v>22.4</v>
      </c>
      <c r="S7" t="s">
        <v>32</v>
      </c>
    </row>
    <row r="8" spans="1:19" x14ac:dyDescent="0.15">
      <c r="A8" t="s">
        <v>33</v>
      </c>
      <c r="B8">
        <f t="shared" si="0"/>
        <v>3.6</v>
      </c>
      <c r="C8">
        <f>ABS(((O8-N8)/2-(Q8-P8)/2)/2)</f>
        <v>0.19999999999999973</v>
      </c>
      <c r="D8">
        <v>1060</v>
      </c>
      <c r="E8">
        <v>100</v>
      </c>
      <c r="G8">
        <v>0.1</v>
      </c>
      <c r="H8">
        <v>1000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>
        <v>-3.6</v>
      </c>
      <c r="O8">
        <v>3.2</v>
      </c>
      <c r="P8">
        <v>-4</v>
      </c>
      <c r="Q8">
        <v>3.6</v>
      </c>
    </row>
    <row r="9" spans="1:19" x14ac:dyDescent="0.15">
      <c r="A9" t="s">
        <v>39</v>
      </c>
      <c r="B9">
        <f t="shared" si="0"/>
        <v>19.799999999999997</v>
      </c>
      <c r="C9">
        <f>ABS(((O9-N9)/2-(Q9-P9)/2)/2)</f>
        <v>0.59999999999999964</v>
      </c>
      <c r="D9">
        <v>1030</v>
      </c>
      <c r="E9">
        <v>500</v>
      </c>
      <c r="G9">
        <v>3.7999999999999999E-2</v>
      </c>
      <c r="H9">
        <v>250</v>
      </c>
      <c r="I9">
        <v>1.5</v>
      </c>
      <c r="J9">
        <v>80</v>
      </c>
      <c r="K9" t="s">
        <v>40</v>
      </c>
      <c r="L9" t="s">
        <v>25</v>
      </c>
      <c r="M9" t="s">
        <v>38</v>
      </c>
      <c r="N9">
        <v>-20.399999999999999</v>
      </c>
      <c r="O9">
        <v>18</v>
      </c>
      <c r="P9">
        <v>-22</v>
      </c>
      <c r="Q9">
        <v>18.8</v>
      </c>
    </row>
    <row r="10" spans="1:19" x14ac:dyDescent="0.15">
      <c r="A10" t="s">
        <v>39</v>
      </c>
      <c r="B10">
        <f t="shared" si="0"/>
        <v>12.7</v>
      </c>
      <c r="C10">
        <f>ABS(((O10-N10)/2-(Q10-P10)/2)/2)</f>
        <v>0.10000000000000053</v>
      </c>
      <c r="D10">
        <v>1030</v>
      </c>
      <c r="E10">
        <v>500</v>
      </c>
      <c r="G10">
        <v>3.7999999999999999E-2</v>
      </c>
      <c r="H10">
        <v>250</v>
      </c>
      <c r="I10">
        <v>1.5</v>
      </c>
      <c r="J10">
        <v>80</v>
      </c>
      <c r="K10" t="s">
        <v>40</v>
      </c>
      <c r="L10" t="s">
        <v>25</v>
      </c>
      <c r="M10" t="s">
        <v>23</v>
      </c>
      <c r="N10">
        <v>-11.6</v>
      </c>
      <c r="O10">
        <v>14</v>
      </c>
      <c r="P10">
        <v>-11.2</v>
      </c>
      <c r="Q10">
        <v>14</v>
      </c>
    </row>
    <row r="11" spans="1:19" x14ac:dyDescent="0.15">
      <c r="A11" t="s">
        <v>41</v>
      </c>
      <c r="B11">
        <f t="shared" si="0"/>
        <v>26.6</v>
      </c>
      <c r="C11">
        <f>ABS(((N11-O11)/2-(P11-Q11)/2)/2)</f>
        <v>1.5999999999999996</v>
      </c>
      <c r="D11" t="s">
        <v>23</v>
      </c>
      <c r="E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42</v>
      </c>
      <c r="L11" t="s">
        <v>25</v>
      </c>
      <c r="M11" t="s">
        <v>23</v>
      </c>
      <c r="N11">
        <v>-30.8</v>
      </c>
      <c r="O11">
        <v>19.2</v>
      </c>
      <c r="P11">
        <v>-32.799999999999997</v>
      </c>
      <c r="Q11">
        <v>23.6</v>
      </c>
    </row>
    <row r="12" spans="1:19" x14ac:dyDescent="0.15">
      <c r="A12" t="s">
        <v>43</v>
      </c>
      <c r="B12">
        <f t="shared" si="0"/>
        <v>24.5</v>
      </c>
      <c r="C12">
        <f>ABS(((N12-O12)/2-(P12-Q12)/2)/2)</f>
        <v>1.1000000000000014</v>
      </c>
      <c r="D12">
        <v>800</v>
      </c>
      <c r="E12">
        <v>35</v>
      </c>
      <c r="G12" t="s">
        <v>23</v>
      </c>
      <c r="H12" t="s">
        <v>23</v>
      </c>
      <c r="I12" t="s">
        <v>23</v>
      </c>
      <c r="J12" t="s">
        <v>23</v>
      </c>
      <c r="K12" t="s">
        <v>44</v>
      </c>
      <c r="L12" t="s">
        <v>25</v>
      </c>
      <c r="M12" t="s">
        <v>23</v>
      </c>
      <c r="N12">
        <v>61.2</v>
      </c>
      <c r="O12">
        <f>-72+180</f>
        <v>108</v>
      </c>
      <c r="P12">
        <v>58.8</v>
      </c>
      <c r="Q12">
        <f>-70+180</f>
        <v>110</v>
      </c>
    </row>
    <row r="13" spans="1:19" x14ac:dyDescent="0.15">
      <c r="A13" t="s">
        <v>45</v>
      </c>
      <c r="B13">
        <f t="shared" si="0"/>
        <v>44.8</v>
      </c>
      <c r="C13">
        <f>ABS(((N13-O13)/2-(P13-Q13)/2)/2)</f>
        <v>2.2000000000000028</v>
      </c>
      <c r="D13">
        <v>266</v>
      </c>
      <c r="E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46</v>
      </c>
      <c r="L13" t="s">
        <v>25</v>
      </c>
      <c r="M13" t="s">
        <v>23</v>
      </c>
      <c r="N13">
        <v>70</v>
      </c>
      <c r="O13">
        <f>-24.8+180</f>
        <v>155.19999999999999</v>
      </c>
      <c r="P13">
        <v>64.400000000000006</v>
      </c>
      <c r="Q13">
        <f>-21.6+180</f>
        <v>158.4</v>
      </c>
      <c r="S13" t="s">
        <v>47</v>
      </c>
    </row>
    <row r="14" spans="1:19" x14ac:dyDescent="0.15">
      <c r="A14" t="s">
        <v>30</v>
      </c>
      <c r="B14">
        <f t="shared" si="0"/>
        <v>12.999999999999996</v>
      </c>
      <c r="C14">
        <f>ABS(((N14-O14)/2-(P14-Q14)/2)/2)</f>
        <v>0.19999999999999929</v>
      </c>
      <c r="D14">
        <v>800</v>
      </c>
      <c r="E14">
        <v>90</v>
      </c>
      <c r="G14" t="s">
        <v>23</v>
      </c>
      <c r="H14" t="s">
        <v>23</v>
      </c>
      <c r="I14" t="s">
        <v>23</v>
      </c>
      <c r="J14" t="s">
        <v>23</v>
      </c>
      <c r="K14" t="s">
        <v>48</v>
      </c>
      <c r="L14" t="s">
        <v>25</v>
      </c>
      <c r="M14" t="s">
        <v>23</v>
      </c>
      <c r="N14">
        <v>78.400000000000006</v>
      </c>
      <c r="O14">
        <f>-75.2+180</f>
        <v>104.8</v>
      </c>
      <c r="P14">
        <v>78.400000000000006</v>
      </c>
      <c r="Q14">
        <f>-76+180</f>
        <v>104</v>
      </c>
    </row>
    <row r="15" spans="1:19" x14ac:dyDescent="0.15">
      <c r="A15" t="s">
        <v>49</v>
      </c>
      <c r="B15">
        <v>6</v>
      </c>
      <c r="C15">
        <v>0.2</v>
      </c>
      <c r="D15" s="3">
        <v>1030</v>
      </c>
      <c r="E15" s="3">
        <v>213</v>
      </c>
      <c r="F15" s="3" t="s">
        <v>60</v>
      </c>
      <c r="G15" s="4" t="s">
        <v>59</v>
      </c>
      <c r="H15" s="3">
        <v>600</v>
      </c>
      <c r="I15" s="3">
        <v>3</v>
      </c>
      <c r="J15" s="3">
        <v>7.34</v>
      </c>
      <c r="K15" t="s">
        <v>50</v>
      </c>
      <c r="L15" t="s">
        <v>51</v>
      </c>
      <c r="M15">
        <v>10000</v>
      </c>
    </row>
    <row r="16" spans="1:19" x14ac:dyDescent="0.15">
      <c r="A16" t="s">
        <v>52</v>
      </c>
      <c r="B16">
        <f>((O16-N16)/2+(Q16-P16)/2)/2</f>
        <v>11.700000000000001</v>
      </c>
      <c r="C16">
        <f>ABS(((O16-N16)/2-(Q16-P16)/2)/2)</f>
        <v>9.9999999999999645E-2</v>
      </c>
      <c r="D16" s="3">
        <v>1030</v>
      </c>
      <c r="E16" s="3">
        <v>213</v>
      </c>
      <c r="F16" s="3" t="s">
        <v>62</v>
      </c>
      <c r="G16" s="4" t="s">
        <v>61</v>
      </c>
      <c r="H16" s="3">
        <v>600</v>
      </c>
      <c r="I16" s="3">
        <v>3</v>
      </c>
      <c r="J16" s="3">
        <v>7.34</v>
      </c>
      <c r="K16" t="s">
        <v>50</v>
      </c>
      <c r="L16" t="s">
        <v>37</v>
      </c>
      <c r="M16">
        <v>10000</v>
      </c>
      <c r="N16">
        <v>46.8</v>
      </c>
      <c r="O16">
        <v>70</v>
      </c>
      <c r="P16">
        <v>46.4</v>
      </c>
      <c r="Q16">
        <v>70</v>
      </c>
    </row>
    <row r="17" spans="1:17" x14ac:dyDescent="0.15">
      <c r="A17" t="s">
        <v>53</v>
      </c>
      <c r="B17">
        <f>((O17-N17)/2+(Q17-P17)/2)/2</f>
        <v>31.7</v>
      </c>
      <c r="C17">
        <f>ABS(((O17-N17)/2-(Q17-P17)/2)/2)</f>
        <v>1.5000000000000036</v>
      </c>
      <c r="D17" s="3">
        <v>1030</v>
      </c>
      <c r="E17" s="3">
        <v>213</v>
      </c>
      <c r="F17" s="3" t="s">
        <v>63</v>
      </c>
      <c r="G17" s="5">
        <v>2207</v>
      </c>
      <c r="H17" s="3">
        <v>600</v>
      </c>
      <c r="I17" s="3">
        <v>3</v>
      </c>
      <c r="J17" s="3">
        <v>7.34</v>
      </c>
      <c r="K17" t="s">
        <v>50</v>
      </c>
      <c r="L17" t="s">
        <v>25</v>
      </c>
      <c r="M17">
        <v>10000</v>
      </c>
      <c r="N17">
        <v>15.2</v>
      </c>
      <c r="O17">
        <v>75.599999999999994</v>
      </c>
      <c r="P17">
        <v>12</v>
      </c>
      <c r="Q17">
        <v>78.400000000000006</v>
      </c>
    </row>
    <row r="18" spans="1:17" x14ac:dyDescent="0.15">
      <c r="A18" t="s">
        <v>54</v>
      </c>
      <c r="B18">
        <f>((O18-N18)/2+(Q18-P18)/2)/2</f>
        <v>49.7</v>
      </c>
      <c r="C18">
        <f>(((O18-N18)/2-(Q18-P18)/2)/2)</f>
        <v>0.69999999999999929</v>
      </c>
      <c r="D18" s="3">
        <v>1030</v>
      </c>
      <c r="E18" s="3">
        <v>213</v>
      </c>
      <c r="F18" s="3" t="s">
        <v>23</v>
      </c>
      <c r="G18" s="4"/>
      <c r="H18" s="3">
        <v>600</v>
      </c>
      <c r="I18" s="3">
        <v>3</v>
      </c>
      <c r="J18" s="3">
        <v>7.34</v>
      </c>
      <c r="K18" t="s">
        <v>50</v>
      </c>
      <c r="L18" t="s">
        <v>25</v>
      </c>
      <c r="M18">
        <v>10000</v>
      </c>
      <c r="N18">
        <v>-16.8</v>
      </c>
      <c r="O18">
        <v>84</v>
      </c>
      <c r="P18">
        <v>-13.6</v>
      </c>
      <c r="Q18">
        <v>84.4</v>
      </c>
    </row>
    <row r="19" spans="1:17" x14ac:dyDescent="0.15">
      <c r="A19" t="s">
        <v>43</v>
      </c>
      <c r="B19">
        <f>((O19-N19)/2+(Q19-P19)/2)/2</f>
        <v>38.700000000000003</v>
      </c>
      <c r="C19">
        <f>ABS(((O19-N19)/2-(Q19-P19)/2)/2)</f>
        <v>2.9000000000000021</v>
      </c>
      <c r="D19" s="3">
        <v>1030</v>
      </c>
      <c r="E19" s="3">
        <v>213</v>
      </c>
      <c r="F19" s="3" t="s">
        <v>64</v>
      </c>
      <c r="G19" s="4" t="s">
        <v>57</v>
      </c>
      <c r="H19" s="3">
        <v>600</v>
      </c>
      <c r="I19" s="3">
        <v>3</v>
      </c>
      <c r="J19" s="3">
        <v>7.34</v>
      </c>
      <c r="K19" t="s">
        <v>50</v>
      </c>
      <c r="L19" t="s">
        <v>25</v>
      </c>
      <c r="M19">
        <v>10000</v>
      </c>
      <c r="N19">
        <v>-24.8</v>
      </c>
      <c r="O19">
        <v>46.8</v>
      </c>
      <c r="P19">
        <v>-27.6</v>
      </c>
      <c r="Q19">
        <v>55.6</v>
      </c>
    </row>
    <row r="20" spans="1:17" x14ac:dyDescent="0.15">
      <c r="A20" t="s">
        <v>55</v>
      </c>
      <c r="B20">
        <f>((O20-N20)/2+(Q20-P20)/2)/2</f>
        <v>14.600000000000001</v>
      </c>
      <c r="C20">
        <f>ABS(((O20-N20)/2-(Q20-P20)/2)/2)</f>
        <v>0.79999999999999982</v>
      </c>
      <c r="D20" s="3">
        <v>1030</v>
      </c>
      <c r="E20" s="3">
        <v>213</v>
      </c>
      <c r="F20" s="3" t="s">
        <v>65</v>
      </c>
      <c r="G20" s="4" t="s">
        <v>58</v>
      </c>
      <c r="H20" s="3">
        <v>600</v>
      </c>
      <c r="I20" s="3">
        <v>3</v>
      </c>
      <c r="J20" s="3">
        <v>7.34</v>
      </c>
      <c r="K20" t="s">
        <v>50</v>
      </c>
      <c r="L20" t="s">
        <v>56</v>
      </c>
      <c r="M20">
        <v>10000</v>
      </c>
      <c r="N20">
        <v>-9.6</v>
      </c>
      <c r="O20">
        <v>18</v>
      </c>
      <c r="P20">
        <v>-10.8</v>
      </c>
      <c r="Q20">
        <v>20</v>
      </c>
    </row>
  </sheetData>
  <mergeCells count="1">
    <mergeCell ref="N3:Q3"/>
  </mergeCells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2161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Iaroslav</cp:lastModifiedBy>
  <cp:revision>21</cp:revision>
  <dcterms:created xsi:type="dcterms:W3CDTF">2016-06-28T16:07:37Z</dcterms:created>
  <dcterms:modified xsi:type="dcterms:W3CDTF">2016-06-28T16:25:35Z</dcterms:modified>
  <dc:language>en-US</dc:language>
</cp:coreProperties>
</file>