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<sst xmlns="http://schemas.openxmlformats.org/spreadsheetml/2006/main" count="122" uniqueCount="67">
  <si>
    <t>#Property of Iaroslav Gnilitskyi and Prof. Leonardo Orazi, UNIMORE Italy.</t>
  </si>
  <si>
    <t># Method to measure: ImageJ &gt; OrientationJ &gt; Distribution &gt; Reitz filter</t>
  </si>
  <si>
    <t># This file will be used with ./plot.py to automatically generate the correlation between LSPP and LIPSS regularity</t>
  </si>
  <si>
    <t>Measurements</t>
  </si>
  <si>
    <t>Remark</t>
  </si>
  <si>
    <t>#Material</t>
  </si>
  <si>
    <t>Aperture (deg)</t>
  </si>
  <si>
    <t>dAngle (deg)</t>
  </si>
  <si>
    <t>Wavelength (nm)</t>
  </si>
  <si>
    <t>Pulse (fs)</t>
  </si>
  <si>
    <t>Average power (W)</t>
  </si>
  <si>
    <t>Energy per pulse J</t>
  </si>
  <si>
    <t>Calc. F</t>
  </si>
  <si>
    <t>Fluence(J/cm2)</t>
  </si>
  <si>
    <t>Repetition(Hz)</t>
  </si>
  <si>
    <t>Scanning(m/s)</t>
  </si>
  <si>
    <t>SpotDiam(um)</t>
  </si>
  <si>
    <t>References</t>
  </si>
  <si>
    <t>Source</t>
  </si>
  <si>
    <t>Magnification</t>
  </si>
  <si>
    <t>Min</t>
  </si>
  <si>
    <t>Max</t>
  </si>
  <si>
    <t>Min2</t>
  </si>
  <si>
    <t>Max2</t>
  </si>
  <si>
    <t>Ag</t>
  </si>
  <si>
    <t>?</t>
  </si>
  <si>
    <t>[Chang2011]</t>
  </si>
  <si>
    <t>Palik</t>
  </si>
  <si>
    <t>#Mo</t>
  </si>
  <si>
    <t>30-40</t>
  </si>
  <si>
    <t>[Cong2015]</t>
  </si>
  <si>
    <t>Ordal</t>
  </si>
  <si>
    <t>Ni</t>
  </si>
  <si>
    <t>[Dostovalov]</t>
  </si>
  <si>
    <t>1026 nm</t>
  </si>
  <si>
    <t>#Ti</t>
  </si>
  <si>
    <t>2-8 1E6</t>
  </si>
  <si>
    <t>~12</t>
  </si>
  <si>
    <t>[Oektem2013]</t>
  </si>
  <si>
    <t>Johnson</t>
  </si>
  <si>
    <t>&gt;&gt; 10000</t>
  </si>
  <si>
    <t>Cr</t>
  </si>
  <si>
    <t>[RuizdelaCruz2014]</t>
  </si>
  <si>
    <t>#Cu</t>
  </si>
  <si>
    <t>[Tan]</t>
  </si>
  <si>
    <t>Cu</t>
  </si>
  <si>
    <t>[Xie2015]</t>
  </si>
  <si>
    <t>#Au</t>
  </si>
  <si>
    <t>[Yadavali]</t>
  </si>
  <si>
    <t>DC voltage</t>
  </si>
  <si>
    <t>[Yao]</t>
  </si>
  <si>
    <t>Mo</t>
  </si>
  <si>
    <t>0.583</t>
  </si>
  <si>
    <t>1.39</t>
  </si>
  <si>
    <t>This work</t>
  </si>
  <si>
    <t>Ordal 1988</t>
  </si>
  <si>
    <t>Ti</t>
  </si>
  <si>
    <t>1.19</t>
  </si>
  <si>
    <t>Al</t>
  </si>
  <si>
    <t>0.93</t>
  </si>
  <si>
    <t>Au</t>
  </si>
  <si>
    <t>1.85</t>
  </si>
  <si>
    <t>4.4</t>
  </si>
  <si>
    <t>Steel</t>
  </si>
  <si>
    <t>0.376</t>
  </si>
  <si>
    <t>0.9</t>
  </si>
  <si>
    <t>Iaroslav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</si>
</sst>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0"/>
    <numFmt numFmtId="166" formatCode="#,##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33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CC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CC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0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220" zoomScaleNormal="220" zoomScalePageLayoutView="100" workbookViewId="0">
      <selection pane="topLeft" activeCell="H16" activeCellId="0" sqref="H16"/>
    </sheetView>
  </sheetViews>
  <sheetFormatPr defaultRowHeight="12.8"/>
  <cols>
    <col collapsed="false" hidden="false" max="9" min="1" style="0" width="8.8265306122449"/>
    <col collapsed="false" hidden="false" max="10" min="10" style="0" width="15.219387755102"/>
    <col collapsed="false" hidden="false" max="1025" min="11" style="0" width="8.826530612244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P3" s="1" t="s">
        <v>3</v>
      </c>
      <c r="Q3" s="1"/>
      <c r="R3" s="1"/>
      <c r="S3" s="1"/>
      <c r="T3" s="2"/>
      <c r="U3" s="2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7</v>
      </c>
      <c r="D4" s="0" t="s">
        <v>8</v>
      </c>
      <c r="E4" s="0" t="s">
        <v>9</v>
      </c>
      <c r="F4" s="0" t="s">
        <v>10</v>
      </c>
      <c r="G4" s="0" t="s">
        <v>11</v>
      </c>
      <c r="H4" s="0" t="s">
        <v>12</v>
      </c>
      <c r="I4" s="0" t="s">
        <v>13</v>
      </c>
      <c r="J4" s="0" t="s">
        <v>14</v>
      </c>
      <c r="K4" s="0" t="s">
        <v>15</v>
      </c>
      <c r="L4" s="0" t="s">
        <v>16</v>
      </c>
      <c r="M4" s="0" t="s">
        <v>17</v>
      </c>
      <c r="N4" s="0" t="s">
        <v>18</v>
      </c>
      <c r="O4" s="0" t="s">
        <v>19</v>
      </c>
      <c r="P4" s="0" t="s">
        <v>20</v>
      </c>
      <c r="Q4" s="0" t="s">
        <v>21</v>
      </c>
      <c r="R4" s="0" t="s">
        <v>22</v>
      </c>
      <c r="S4" s="0" t="s">
        <v>23</v>
      </c>
    </row>
    <row r="5" customFormat="false" ht="12.8" hidden="false" customHeight="false" outlineLevel="0" collapsed="false">
      <c r="A5" s="0" t="s">
        <v>24</v>
      </c>
      <c r="B5" s="0" t="n">
        <f aca="false">((Q5-P5)/2+(S5-R5)/2)/2</f>
        <v>49.1</v>
      </c>
      <c r="C5" s="0" t="n">
        <f aca="false">ABS(((Q5-P5)/2-(S5-R5)/2)/2)</f>
        <v>13.3</v>
      </c>
      <c r="D5" s="0" t="n">
        <v>800</v>
      </c>
      <c r="E5" s="0" t="n">
        <v>120</v>
      </c>
      <c r="I5" s="0" t="s">
        <v>25</v>
      </c>
      <c r="J5" s="0" t="s">
        <v>25</v>
      </c>
      <c r="K5" s="0" t="s">
        <v>25</v>
      </c>
      <c r="L5" s="0" t="s">
        <v>25</v>
      </c>
      <c r="M5" s="0" t="s">
        <v>26</v>
      </c>
      <c r="N5" s="0" t="s">
        <v>27</v>
      </c>
      <c r="O5" s="0" t="s">
        <v>25</v>
      </c>
      <c r="P5" s="0" t="n">
        <v>-8.8</v>
      </c>
      <c r="Q5" s="0" t="n">
        <v>62.8</v>
      </c>
      <c r="R5" s="0" t="n">
        <v>-47.6</v>
      </c>
      <c r="S5" s="0" t="n">
        <v>77.2</v>
      </c>
    </row>
    <row r="6" customFormat="false" ht="12.8" hidden="false" customHeight="false" outlineLevel="0" collapsed="false">
      <c r="A6" s="0" t="s">
        <v>28</v>
      </c>
      <c r="B6" s="0" t="n">
        <f aca="false">((Q6-P6)/2+(S6-R6)/2)/2</f>
        <v>9.1</v>
      </c>
      <c r="C6" s="0" t="n">
        <f aca="false">ABS(((Q6-P6)/2-(S6-R6)/2)/2)</f>
        <v>0.100000000000001</v>
      </c>
      <c r="D6" s="0" t="n">
        <v>800</v>
      </c>
      <c r="E6" s="0" t="n">
        <v>50</v>
      </c>
      <c r="I6" s="0" t="n">
        <v>0.07</v>
      </c>
      <c r="J6" s="0" t="n">
        <v>1</v>
      </c>
      <c r="K6" s="0" t="n">
        <v>0.0004</v>
      </c>
      <c r="L6" s="0" t="s">
        <v>29</v>
      </c>
      <c r="M6" s="0" t="s">
        <v>30</v>
      </c>
      <c r="N6" s="0" t="s">
        <v>31</v>
      </c>
      <c r="P6" s="0" t="n">
        <v>84</v>
      </c>
      <c r="Q6" s="0" t="n">
        <f aca="false">-78+180</f>
        <v>102</v>
      </c>
      <c r="R6" s="0" t="n">
        <v>84</v>
      </c>
      <c r="S6" s="0" t="n">
        <f aca="false">-77.6+180</f>
        <v>102.4</v>
      </c>
    </row>
    <row r="7" customFormat="false" ht="12.8" hidden="false" customHeight="false" outlineLevel="0" collapsed="false">
      <c r="A7" s="0" t="s">
        <v>32</v>
      </c>
      <c r="B7" s="0" t="n">
        <f aca="false">((Q7-P7)/2+(S7-R7)/2)/2</f>
        <v>24.6</v>
      </c>
      <c r="C7" s="0" t="n">
        <f aca="false">ABS(((P7-Q7)/2-(R7-S7)/2)/2)</f>
        <v>0.800000000000001</v>
      </c>
      <c r="D7" s="0" t="n">
        <v>1030</v>
      </c>
      <c r="E7" s="0" t="n">
        <v>232</v>
      </c>
      <c r="I7" s="0" t="s">
        <v>25</v>
      </c>
      <c r="J7" s="0" t="s">
        <v>25</v>
      </c>
      <c r="K7" s="0" t="s">
        <v>25</v>
      </c>
      <c r="L7" s="0" t="s">
        <v>25</v>
      </c>
      <c r="M7" s="0" t="s">
        <v>33</v>
      </c>
      <c r="N7" s="0" t="s">
        <v>27</v>
      </c>
      <c r="O7" s="0" t="s">
        <v>25</v>
      </c>
      <c r="P7" s="0" t="n">
        <v>-27.6</v>
      </c>
      <c r="Q7" s="0" t="n">
        <v>23.2</v>
      </c>
      <c r="R7" s="0" t="n">
        <v>-25.2</v>
      </c>
      <c r="S7" s="0" t="n">
        <v>22.4</v>
      </c>
      <c r="U7" s="0" t="s">
        <v>34</v>
      </c>
    </row>
    <row r="8" customFormat="false" ht="12.8" hidden="false" customHeight="false" outlineLevel="0" collapsed="false">
      <c r="A8" s="0" t="s">
        <v>35</v>
      </c>
      <c r="B8" s="0" t="n">
        <f aca="false">((Q8-P8)/2+(S8-R8)/2)/2</f>
        <v>3.6</v>
      </c>
      <c r="C8" s="0" t="n">
        <f aca="false">ABS(((Q8-P8)/2-(S8-R8)/2)/2)</f>
        <v>0.2</v>
      </c>
      <c r="D8" s="0" t="n">
        <v>1060</v>
      </c>
      <c r="E8" s="0" t="n">
        <v>100</v>
      </c>
      <c r="I8" s="0" t="n">
        <v>0.1</v>
      </c>
      <c r="J8" s="0" t="n">
        <v>1000</v>
      </c>
      <c r="K8" s="0" t="s">
        <v>36</v>
      </c>
      <c r="L8" s="0" t="s">
        <v>37</v>
      </c>
      <c r="M8" s="0" t="s">
        <v>38</v>
      </c>
      <c r="N8" s="0" t="s">
        <v>39</v>
      </c>
      <c r="O8" s="0" t="s">
        <v>40</v>
      </c>
      <c r="P8" s="0" t="n">
        <v>-3.6</v>
      </c>
      <c r="Q8" s="0" t="n">
        <v>3.2</v>
      </c>
      <c r="R8" s="0" t="n">
        <v>-4</v>
      </c>
      <c r="S8" s="0" t="n">
        <v>3.6</v>
      </c>
    </row>
    <row r="9" customFormat="false" ht="12.8" hidden="false" customHeight="false" outlineLevel="0" collapsed="false">
      <c r="A9" s="0" t="s">
        <v>41</v>
      </c>
      <c r="B9" s="0" t="n">
        <f aca="false">((Q9-P9)/2+(S9-R9)/2)/2</f>
        <v>19.8</v>
      </c>
      <c r="C9" s="0" t="n">
        <f aca="false">ABS(((Q9-P9)/2-(S9-R9)/2)/2)</f>
        <v>0.6</v>
      </c>
      <c r="D9" s="0" t="n">
        <v>1030</v>
      </c>
      <c r="E9" s="0" t="n">
        <v>500</v>
      </c>
      <c r="G9" s="3" t="n">
        <v>1E-005</v>
      </c>
      <c r="H9" s="4" t="n">
        <f aca="false">2*G9/(PI()*(L9*0.000001/2)^2)</f>
        <v>3978.87357729738</v>
      </c>
      <c r="I9" s="0" t="n">
        <v>0.038</v>
      </c>
      <c r="J9" s="0" t="n">
        <v>250</v>
      </c>
      <c r="K9" s="0" t="n">
        <v>1.5</v>
      </c>
      <c r="L9" s="0" t="n">
        <v>80</v>
      </c>
      <c r="M9" s="0" t="s">
        <v>42</v>
      </c>
      <c r="N9" s="0" t="s">
        <v>27</v>
      </c>
      <c r="O9" s="0" t="s">
        <v>40</v>
      </c>
      <c r="P9" s="0" t="n">
        <v>-20.4</v>
      </c>
      <c r="Q9" s="0" t="n">
        <v>18</v>
      </c>
      <c r="R9" s="0" t="n">
        <v>-22</v>
      </c>
      <c r="S9" s="0" t="n">
        <v>18.8</v>
      </c>
    </row>
    <row r="10" customFormat="false" ht="12.8" hidden="false" customHeight="false" outlineLevel="0" collapsed="false">
      <c r="A10" s="0" t="s">
        <v>41</v>
      </c>
      <c r="B10" s="0" t="n">
        <f aca="false">((Q10-P10)/2+(S10-R10)/2)/2</f>
        <v>12.7</v>
      </c>
      <c r="C10" s="0" t="n">
        <f aca="false">ABS(((Q10-P10)/2-(S10-R10)/2)/2)</f>
        <v>0.100000000000001</v>
      </c>
      <c r="D10" s="0" t="n">
        <v>1030</v>
      </c>
      <c r="E10" s="0" t="n">
        <v>500</v>
      </c>
      <c r="G10" s="3" t="n">
        <v>1E-005</v>
      </c>
      <c r="H10" s="4" t="n">
        <f aca="false">2*G10/(PI()*(L10*0.000001/2)^2)</f>
        <v>3978.87357729738</v>
      </c>
      <c r="I10" s="0" t="n">
        <v>0.038</v>
      </c>
      <c r="J10" s="0" t="n">
        <v>250</v>
      </c>
      <c r="K10" s="0" t="n">
        <v>1.5</v>
      </c>
      <c r="L10" s="0" t="n">
        <v>80</v>
      </c>
      <c r="M10" s="0" t="s">
        <v>42</v>
      </c>
      <c r="N10" s="0" t="s">
        <v>27</v>
      </c>
      <c r="O10" s="0" t="s">
        <v>25</v>
      </c>
      <c r="P10" s="0" t="n">
        <v>-11.6</v>
      </c>
      <c r="Q10" s="0" t="n">
        <v>14</v>
      </c>
      <c r="R10" s="0" t="n">
        <v>-11.2</v>
      </c>
      <c r="S10" s="0" t="n">
        <v>14</v>
      </c>
    </row>
    <row r="11" customFormat="false" ht="12.8" hidden="false" customHeight="false" outlineLevel="0" collapsed="false">
      <c r="A11" s="0" t="s">
        <v>43</v>
      </c>
      <c r="B11" s="0" t="n">
        <f aca="false">((Q11-P11)/2+(S11-R11)/2)/2</f>
        <v>26.6</v>
      </c>
      <c r="C11" s="0" t="n">
        <f aca="false">ABS(((P11-Q11)/2-(R11-S11)/2)/2)</f>
        <v>1.6</v>
      </c>
      <c r="D11" s="0" t="s">
        <v>25</v>
      </c>
      <c r="E11" s="0" t="s">
        <v>25</v>
      </c>
      <c r="I11" s="0" t="s">
        <v>25</v>
      </c>
      <c r="J11" s="0" t="s">
        <v>25</v>
      </c>
      <c r="K11" s="0" t="s">
        <v>25</v>
      </c>
      <c r="L11" s="0" t="s">
        <v>25</v>
      </c>
      <c r="M11" s="0" t="s">
        <v>44</v>
      </c>
      <c r="N11" s="0" t="s">
        <v>27</v>
      </c>
      <c r="O11" s="0" t="s">
        <v>25</v>
      </c>
      <c r="P11" s="0" t="n">
        <v>-30.8</v>
      </c>
      <c r="Q11" s="0" t="n">
        <v>19.2</v>
      </c>
      <c r="R11" s="0" t="n">
        <v>-32.8</v>
      </c>
      <c r="S11" s="0" t="n">
        <v>23.6</v>
      </c>
    </row>
    <row r="12" customFormat="false" ht="12.8" hidden="false" customHeight="false" outlineLevel="0" collapsed="false">
      <c r="A12" s="0" t="s">
        <v>45</v>
      </c>
      <c r="B12" s="0" t="n">
        <f aca="false">((Q12-P12)/2+(S12-R12)/2)/2</f>
        <v>24.5</v>
      </c>
      <c r="C12" s="0" t="n">
        <f aca="false">ABS(((P12-Q12)/2-(R12-S12)/2)/2)</f>
        <v>1.1</v>
      </c>
      <c r="D12" s="0" t="n">
        <v>800</v>
      </c>
      <c r="E12" s="0" t="n">
        <v>35</v>
      </c>
      <c r="I12" s="0" t="s">
        <v>25</v>
      </c>
      <c r="J12" s="0" t="s">
        <v>25</v>
      </c>
      <c r="K12" s="0" t="s">
        <v>25</v>
      </c>
      <c r="L12" s="0" t="s">
        <v>25</v>
      </c>
      <c r="M12" s="0" t="s">
        <v>46</v>
      </c>
      <c r="N12" s="0" t="s">
        <v>27</v>
      </c>
      <c r="O12" s="0" t="s">
        <v>25</v>
      </c>
      <c r="P12" s="0" t="n">
        <v>61.2</v>
      </c>
      <c r="Q12" s="0" t="n">
        <f aca="false">-72+180</f>
        <v>108</v>
      </c>
      <c r="R12" s="0" t="n">
        <v>58.8</v>
      </c>
      <c r="S12" s="0" t="n">
        <f aca="false">-70+180</f>
        <v>110</v>
      </c>
    </row>
    <row r="13" customFormat="false" ht="12.8" hidden="false" customHeight="false" outlineLevel="0" collapsed="false">
      <c r="A13" s="0" t="s">
        <v>47</v>
      </c>
      <c r="B13" s="0" t="n">
        <f aca="false">((Q13-P13)/2+(S13-R13)/2)/2</f>
        <v>44.8</v>
      </c>
      <c r="C13" s="0" t="n">
        <f aca="false">ABS(((P13-Q13)/2-(R13-S13)/2)/2)</f>
        <v>2.2</v>
      </c>
      <c r="D13" s="0" t="n">
        <v>266</v>
      </c>
      <c r="E13" s="0" t="s">
        <v>25</v>
      </c>
      <c r="I13" s="0" t="s">
        <v>25</v>
      </c>
      <c r="J13" s="0" t="s">
        <v>25</v>
      </c>
      <c r="K13" s="0" t="s">
        <v>25</v>
      </c>
      <c r="L13" s="0" t="s">
        <v>25</v>
      </c>
      <c r="M13" s="0" t="s">
        <v>48</v>
      </c>
      <c r="N13" s="0" t="s">
        <v>27</v>
      </c>
      <c r="O13" s="0" t="s">
        <v>25</v>
      </c>
      <c r="P13" s="0" t="n">
        <v>70</v>
      </c>
      <c r="Q13" s="0" t="n">
        <f aca="false">-24.8+180</f>
        <v>155.2</v>
      </c>
      <c r="R13" s="0" t="n">
        <v>64.4</v>
      </c>
      <c r="S13" s="0" t="n">
        <f aca="false">-21.6+180</f>
        <v>158.4</v>
      </c>
      <c r="U13" s="0" t="s">
        <v>49</v>
      </c>
    </row>
    <row r="14" customFormat="false" ht="12.8" hidden="false" customHeight="false" outlineLevel="0" collapsed="false">
      <c r="A14" s="0" t="s">
        <v>32</v>
      </c>
      <c r="B14" s="0" t="n">
        <f aca="false">((Q14-P14)/2+(S14-R14)/2)/2</f>
        <v>13</v>
      </c>
      <c r="C14" s="0" t="n">
        <f aca="false">ABS(((P14-Q14)/2-(R14-S14)/2)/2)</f>
        <v>0.199999999999999</v>
      </c>
      <c r="D14" s="0" t="n">
        <v>800</v>
      </c>
      <c r="E14" s="0" t="n">
        <v>90</v>
      </c>
      <c r="I14" s="0" t="s">
        <v>25</v>
      </c>
      <c r="J14" s="0" t="s">
        <v>25</v>
      </c>
      <c r="K14" s="0" t="s">
        <v>25</v>
      </c>
      <c r="L14" s="0" t="s">
        <v>25</v>
      </c>
      <c r="M14" s="0" t="s">
        <v>50</v>
      </c>
      <c r="N14" s="0" t="s">
        <v>27</v>
      </c>
      <c r="O14" s="0" t="s">
        <v>25</v>
      </c>
      <c r="P14" s="0" t="n">
        <v>78.4</v>
      </c>
      <c r="Q14" s="0" t="n">
        <f aca="false">-75.2+180</f>
        <v>104.8</v>
      </c>
      <c r="R14" s="0" t="n">
        <v>78.4</v>
      </c>
      <c r="S14" s="0" t="n">
        <f aca="false">-76+180</f>
        <v>104</v>
      </c>
    </row>
    <row r="15" customFormat="false" ht="12.8" hidden="false" customHeight="false" outlineLevel="0" collapsed="false">
      <c r="A15" s="0" t="s">
        <v>51</v>
      </c>
      <c r="B15" s="0" t="n">
        <v>6</v>
      </c>
      <c r="C15" s="0" t="n">
        <v>0.2</v>
      </c>
      <c r="D15" s="5" t="n">
        <v>1030</v>
      </c>
      <c r="E15" s="5" t="n">
        <v>213</v>
      </c>
      <c r="F15" s="5"/>
      <c r="G15" s="5" t="s">
        <v>52</v>
      </c>
      <c r="H15" s="4" t="n">
        <f aca="false">2*G15/(PI()*(L15*0.000001/2)^2)</f>
        <v>27556023676.0463</v>
      </c>
      <c r="I15" s="6" t="s">
        <v>53</v>
      </c>
      <c r="J15" s="7" t="n">
        <v>600000</v>
      </c>
      <c r="K15" s="5" t="n">
        <v>3</v>
      </c>
      <c r="L15" s="5" t="n">
        <v>7.34</v>
      </c>
      <c r="M15" s="0" t="s">
        <v>54</v>
      </c>
      <c r="N15" s="0" t="s">
        <v>55</v>
      </c>
      <c r="O15" s="0" t="n">
        <v>10000</v>
      </c>
    </row>
    <row r="16" customFormat="false" ht="12.8" hidden="false" customHeight="false" outlineLevel="0" collapsed="false">
      <c r="A16" s="0" t="s">
        <v>56</v>
      </c>
      <c r="B16" s="0" t="n">
        <f aca="false">((Q16-P16)/2+(S16-R16)/2)/2</f>
        <v>11.7</v>
      </c>
      <c r="C16" s="0" t="n">
        <f aca="false">ABS(((Q16-P16)/2-(S16-R16)/2)/2)</f>
        <v>0.0999999999999996</v>
      </c>
      <c r="D16" s="5" t="n">
        <v>1030</v>
      </c>
      <c r="E16" s="5" t="n">
        <v>213</v>
      </c>
      <c r="F16" s="5" t="n">
        <v>0.2</v>
      </c>
      <c r="G16" s="5" t="n">
        <f aca="false">F16/J16</f>
        <v>3.33333333333333E-007</v>
      </c>
      <c r="H16" s="4" t="n">
        <f aca="false">2*G16/(PI()*(L16*0.000001/2)^2)*0.0001</f>
        <v>1.57553022733255</v>
      </c>
      <c r="I16" s="6" t="s">
        <v>57</v>
      </c>
      <c r="J16" s="7" t="n">
        <v>600000</v>
      </c>
      <c r="K16" s="5" t="n">
        <v>3</v>
      </c>
      <c r="L16" s="5" t="n">
        <v>7.34</v>
      </c>
      <c r="M16" s="0" t="s">
        <v>54</v>
      </c>
      <c r="N16" s="0" t="s">
        <v>39</v>
      </c>
      <c r="O16" s="0" t="n">
        <v>10000</v>
      </c>
      <c r="P16" s="0" t="n">
        <v>46.8</v>
      </c>
      <c r="Q16" s="0" t="n">
        <v>70</v>
      </c>
      <c r="R16" s="0" t="n">
        <v>46.4</v>
      </c>
      <c r="S16" s="0" t="n">
        <v>70</v>
      </c>
    </row>
    <row r="17" customFormat="false" ht="12.8" hidden="false" customHeight="false" outlineLevel="0" collapsed="false">
      <c r="A17" s="0" t="s">
        <v>58</v>
      </c>
      <c r="B17" s="0" t="n">
        <f aca="false">((Q17-P17)/2+(S17-R17)/2)/2</f>
        <v>31.7</v>
      </c>
      <c r="C17" s="0" t="n">
        <f aca="false">ABS(((Q17-P17)/2-(S17-R17)/2)/2)</f>
        <v>1.5</v>
      </c>
      <c r="D17" s="5" t="n">
        <v>1030</v>
      </c>
      <c r="E17" s="5" t="n">
        <v>213</v>
      </c>
      <c r="F17" s="5"/>
      <c r="G17" s="5" t="s">
        <v>59</v>
      </c>
      <c r="H17" s="4" t="n">
        <f aca="false">2*G17/(PI()*(L17*0.000001/2)^2)</f>
        <v>43957293342.5781</v>
      </c>
      <c r="I17" s="8" t="n">
        <v>2207</v>
      </c>
      <c r="J17" s="7" t="n">
        <v>600000</v>
      </c>
      <c r="K17" s="5" t="n">
        <v>3</v>
      </c>
      <c r="L17" s="5" t="n">
        <v>7.34</v>
      </c>
      <c r="M17" s="0" t="s">
        <v>54</v>
      </c>
      <c r="N17" s="0" t="s">
        <v>27</v>
      </c>
      <c r="O17" s="0" t="n">
        <v>10000</v>
      </c>
      <c r="P17" s="0" t="n">
        <v>15.2</v>
      </c>
      <c r="Q17" s="0" t="n">
        <v>75.6</v>
      </c>
      <c r="R17" s="0" t="n">
        <v>12</v>
      </c>
      <c r="S17" s="0" t="n">
        <v>78.4</v>
      </c>
    </row>
    <row r="18" customFormat="false" ht="12.8" hidden="false" customHeight="false" outlineLevel="0" collapsed="false">
      <c r="A18" s="0" t="s">
        <v>60</v>
      </c>
      <c r="B18" s="0" t="n">
        <f aca="false">((Q18-P18)/2+(S18-R18)/2)/2</f>
        <v>49.7</v>
      </c>
      <c r="C18" s="0" t="n">
        <f aca="false">(((Q18-P18)/2-(S18-R18)/2)/2)</f>
        <v>0.699999999999999</v>
      </c>
      <c r="D18" s="5" t="n">
        <v>1030</v>
      </c>
      <c r="E18" s="5" t="n">
        <v>213</v>
      </c>
      <c r="F18" s="5"/>
      <c r="G18" s="5" t="s">
        <v>25</v>
      </c>
      <c r="H18" s="4" t="e">
        <f aca="false">2*G18/(PI()*(L18*0.000001/2)^2)</f>
        <v>#VALUE!</v>
      </c>
      <c r="I18" s="6"/>
      <c r="J18" s="7" t="n">
        <v>600000</v>
      </c>
      <c r="K18" s="5" t="n">
        <v>3</v>
      </c>
      <c r="L18" s="5" t="n">
        <v>7.34</v>
      </c>
      <c r="M18" s="0" t="s">
        <v>54</v>
      </c>
      <c r="N18" s="0" t="s">
        <v>27</v>
      </c>
      <c r="O18" s="0" t="n">
        <v>10000</v>
      </c>
      <c r="P18" s="0" t="n">
        <v>-16.8</v>
      </c>
      <c r="Q18" s="0" t="n">
        <v>84</v>
      </c>
      <c r="R18" s="0" t="n">
        <v>-13.6</v>
      </c>
      <c r="S18" s="0" t="n">
        <v>84.4</v>
      </c>
    </row>
    <row r="19" customFormat="false" ht="12.8" hidden="false" customHeight="false" outlineLevel="0" collapsed="false">
      <c r="A19" s="0" t="s">
        <v>45</v>
      </c>
      <c r="B19" s="0" t="n">
        <f aca="false">((Q19-P19)/2+(S19-R19)/2)/2</f>
        <v>38.7</v>
      </c>
      <c r="C19" s="0" t="n">
        <f aca="false">ABS(((Q19-P19)/2-(S19-R19)/2)/2)</f>
        <v>2.9</v>
      </c>
      <c r="D19" s="5" t="n">
        <v>1030</v>
      </c>
      <c r="E19" s="5" t="n">
        <v>213</v>
      </c>
      <c r="F19" s="5"/>
      <c r="G19" s="5" t="s">
        <v>61</v>
      </c>
      <c r="H19" s="4" t="n">
        <f aca="false">2*G19/(PI()*(L19*0.000001/2)^2)</f>
        <v>87441927616.9565</v>
      </c>
      <c r="I19" s="6" t="s">
        <v>62</v>
      </c>
      <c r="J19" s="7" t="n">
        <v>600000</v>
      </c>
      <c r="K19" s="5" t="n">
        <v>3</v>
      </c>
      <c r="L19" s="5" t="n">
        <v>7.34</v>
      </c>
      <c r="M19" s="0" t="s">
        <v>54</v>
      </c>
      <c r="N19" s="0" t="s">
        <v>27</v>
      </c>
      <c r="O19" s="0" t="n">
        <v>10000</v>
      </c>
      <c r="P19" s="0" t="n">
        <v>-24.8</v>
      </c>
      <c r="Q19" s="0" t="n">
        <v>46.8</v>
      </c>
      <c r="R19" s="0" t="n">
        <v>-27.6</v>
      </c>
      <c r="S19" s="0" t="n">
        <v>55.6</v>
      </c>
    </row>
    <row r="20" customFormat="false" ht="12.8" hidden="false" customHeight="false" outlineLevel="0" collapsed="false">
      <c r="A20" s="0" t="s">
        <v>63</v>
      </c>
      <c r="B20" s="0" t="n">
        <f aca="false">((Q20-P20)/2+(S20-R20)/2)/2</f>
        <v>14.6</v>
      </c>
      <c r="C20" s="0" t="n">
        <f aca="false">ABS(((Q20-P20)/2-(S20-R20)/2)/2)</f>
        <v>0.8</v>
      </c>
      <c r="D20" s="5" t="n">
        <v>1030</v>
      </c>
      <c r="E20" s="5" t="n">
        <v>213</v>
      </c>
      <c r="F20" s="5"/>
      <c r="G20" s="5" t="s">
        <v>64</v>
      </c>
      <c r="H20" s="4" t="n">
        <f aca="false">2*G20/(PI()*(L20*0.000001/2)^2)</f>
        <v>17771980964.3112</v>
      </c>
      <c r="I20" s="6" t="s">
        <v>65</v>
      </c>
      <c r="J20" s="7" t="n">
        <v>600000</v>
      </c>
      <c r="K20" s="5" t="n">
        <v>3</v>
      </c>
      <c r="L20" s="5" t="n">
        <v>7.34</v>
      </c>
      <c r="M20" s="0" t="s">
        <v>54</v>
      </c>
      <c r="N20" s="0" t="s">
        <v>66</v>
      </c>
      <c r="O20" s="0" t="n">
        <v>10000</v>
      </c>
      <c r="P20" s="0" t="n">
        <v>-9.6</v>
      </c>
      <c r="Q20" s="0" t="n">
        <v>18</v>
      </c>
      <c r="R20" s="0" t="n">
        <v>-10.8</v>
      </c>
      <c r="S20" s="0" t="n">
        <v>20</v>
      </c>
    </row>
  </sheetData>
  <mergeCells count="1">
    <mergeCell ref="P3:S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2161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2016-06-28T16:07:37Z</dcterms:created>
  <dc:language>en-US</dc:language>
  <cp:lastModifiedBy>Iaroslav</cp:lastModifiedBy>
  <dcterms:modified xsi:type="dcterms:W3CDTF">2016-06-28T16:25:35Z</dcterms:modified>
  <cp:revision>21</cp:revision>
</cp:coreProperties>
</file>