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0" windowWidth="18915" windowHeight="7965" tabRatio="776"/>
  </bookViews>
  <sheets>
    <sheet name="Beads LP3" sheetId="1" r:id="rId1"/>
    <sheet name="Beads littérature" sheetId="3" r:id="rId2"/>
    <sheet name="GraphN-PeriodBeads" sheetId="9" r:id="rId3"/>
    <sheet name="GraphN-BeadsDiameter" sheetId="5" r:id="rId4"/>
    <sheet name="GraphF-Période" sheetId="10" r:id="rId5"/>
    <sheet name="GraphF-Diamètre" sheetId="11" r:id="rId6"/>
    <sheet name="Stats" sheetId="2" r:id="rId7"/>
    <sheet name="Height" sheetId="8" r:id="rId8"/>
    <sheet name="NF graphs" sheetId="6" r:id="rId9"/>
  </sheets>
  <definedNames>
    <definedName name="_xlnm._FilterDatabase" localSheetId="1" hidden="1">'Beads littérature'!$A$1:$AC$9</definedName>
    <definedName name="_xlnm._FilterDatabase" localSheetId="0" hidden="1">'Beads LP3'!$A$26:$Y$31</definedName>
  </definedNames>
  <calcPr calcId="125725"/>
</workbook>
</file>

<file path=xl/calcChain.xml><?xml version="1.0" encoding="utf-8"?>
<calcChain xmlns="http://schemas.openxmlformats.org/spreadsheetml/2006/main">
  <c r="Z31" i="1"/>
  <c r="Z30"/>
  <c r="Z29"/>
  <c r="Z28"/>
  <c r="Z27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Z6"/>
  <c r="Z5"/>
  <c r="Z4"/>
  <c r="Z3"/>
  <c r="V11" i="3"/>
  <c r="W11" s="1"/>
  <c r="U11"/>
  <c r="P11"/>
  <c r="O11"/>
  <c r="P10"/>
  <c r="O10"/>
  <c r="U10"/>
  <c r="X10" s="1"/>
  <c r="V10"/>
  <c r="W10"/>
  <c r="P7"/>
  <c r="O8"/>
  <c r="O7"/>
  <c r="O6"/>
  <c r="O5"/>
  <c r="O3"/>
  <c r="P8"/>
  <c r="P3"/>
  <c r="U8"/>
  <c r="V8"/>
  <c r="W8" s="1"/>
  <c r="U3"/>
  <c r="V3"/>
  <c r="W3" s="1"/>
  <c r="U7"/>
  <c r="V7"/>
  <c r="X7" s="1"/>
  <c r="R31" i="1"/>
  <c r="R30"/>
  <c r="R29"/>
  <c r="R28"/>
  <c r="R27"/>
  <c r="R26"/>
  <c r="R25"/>
  <c r="R24"/>
  <c r="R23"/>
  <c r="R22"/>
  <c r="R21"/>
  <c r="R20"/>
  <c r="R19"/>
  <c r="R18"/>
  <c r="R17"/>
  <c r="R16"/>
  <c r="R15"/>
  <c r="R14"/>
  <c r="R13"/>
  <c r="R12"/>
  <c r="R11"/>
  <c r="R10"/>
  <c r="R9"/>
  <c r="R8"/>
  <c r="R7"/>
  <c r="R6"/>
  <c r="R5"/>
  <c r="R4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J9"/>
  <c r="J8"/>
  <c r="J7"/>
  <c r="J6"/>
  <c r="J5"/>
  <c r="J4"/>
  <c r="J3"/>
  <c r="V5" i="3"/>
  <c r="W5" s="1"/>
  <c r="U5"/>
  <c r="P6"/>
  <c r="X11" l="1"/>
  <c r="X8"/>
  <c r="W7"/>
  <c r="X3"/>
  <c r="X5"/>
  <c r="V6"/>
  <c r="W6" s="1"/>
  <c r="U6"/>
  <c r="S8" i="1"/>
  <c r="S23"/>
  <c r="S24"/>
  <c r="S25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X6" i="3" l="1"/>
  <c r="V4"/>
  <c r="W4" s="1"/>
  <c r="U4"/>
  <c r="V9"/>
  <c r="W9" s="1"/>
  <c r="U9"/>
  <c r="C5" i="8"/>
  <c r="B5"/>
  <c r="E5"/>
  <c r="D5"/>
  <c r="Y27" i="1"/>
  <c r="Y28"/>
  <c r="Y29"/>
  <c r="Y30"/>
  <c r="Y31"/>
  <c r="P29"/>
  <c r="Q29"/>
  <c r="S29" s="1"/>
  <c r="P28"/>
  <c r="Q28"/>
  <c r="S28" s="1"/>
  <c r="Q27"/>
  <c r="P27"/>
  <c r="P30"/>
  <c r="Q30"/>
  <c r="S30" s="1"/>
  <c r="Q26"/>
  <c r="P26"/>
  <c r="Y26"/>
  <c r="Q31"/>
  <c r="S31" s="1"/>
  <c r="P31"/>
  <c r="Y24"/>
  <c r="Y25"/>
  <c r="C4" i="2"/>
  <c r="G4" s="1"/>
  <c r="C3"/>
  <c r="F4" s="1"/>
  <c r="B4"/>
  <c r="B3"/>
  <c r="F3" s="1"/>
  <c r="P22" i="1"/>
  <c r="Q22"/>
  <c r="Y21"/>
  <c r="Y22"/>
  <c r="Y23"/>
  <c r="P21"/>
  <c r="Q21"/>
  <c r="S21" s="1"/>
  <c r="Y4"/>
  <c r="Y5"/>
  <c r="Y6"/>
  <c r="Y7"/>
  <c r="Y8"/>
  <c r="Y9"/>
  <c r="Y10"/>
  <c r="Y11"/>
  <c r="Y12"/>
  <c r="Y13"/>
  <c r="Y14"/>
  <c r="Y15"/>
  <c r="Y16"/>
  <c r="Y17"/>
  <c r="Y18"/>
  <c r="Y19"/>
  <c r="Y20"/>
  <c r="Y3"/>
  <c r="P20"/>
  <c r="Q20"/>
  <c r="S20" s="1"/>
  <c r="P19"/>
  <c r="Q19"/>
  <c r="S19" s="1"/>
  <c r="P18"/>
  <c r="Q18"/>
  <c r="S18" s="1"/>
  <c r="P17"/>
  <c r="Q17"/>
  <c r="S17" s="1"/>
  <c r="P16"/>
  <c r="Q16"/>
  <c r="S16" s="1"/>
  <c r="P15"/>
  <c r="Q15"/>
  <c r="S15" s="1"/>
  <c r="P14"/>
  <c r="Q14"/>
  <c r="S14" s="1"/>
  <c r="P13"/>
  <c r="Q13"/>
  <c r="S13" s="1"/>
  <c r="P12"/>
  <c r="Q12"/>
  <c r="S12" s="1"/>
  <c r="P11"/>
  <c r="Q11"/>
  <c r="S11" s="1"/>
  <c r="P10"/>
  <c r="Q10"/>
  <c r="S10" s="1"/>
  <c r="U9"/>
  <c r="Q9"/>
  <c r="S9" s="1"/>
  <c r="P9"/>
  <c r="U8"/>
  <c r="U7"/>
  <c r="P7"/>
  <c r="Q7"/>
  <c r="U6"/>
  <c r="U5"/>
  <c r="U4"/>
  <c r="U3"/>
  <c r="Q6"/>
  <c r="S6" s="1"/>
  <c r="P6"/>
  <c r="Q3"/>
  <c r="P3"/>
  <c r="Q5"/>
  <c r="S5" s="1"/>
  <c r="P5"/>
  <c r="Q4"/>
  <c r="S4" s="1"/>
  <c r="P4"/>
  <c r="R3" l="1"/>
  <c r="S3"/>
  <c r="S7"/>
  <c r="S22"/>
  <c r="S26"/>
  <c r="S27"/>
  <c r="X9" i="3"/>
  <c r="X4"/>
  <c r="G3" i="2"/>
  <c r="B5"/>
</calcChain>
</file>

<file path=xl/sharedStrings.xml><?xml version="1.0" encoding="utf-8"?>
<sst xmlns="http://schemas.openxmlformats.org/spreadsheetml/2006/main" count="149" uniqueCount="80">
  <si>
    <t>dF</t>
  </si>
  <si>
    <t>N</t>
  </si>
  <si>
    <t>dN</t>
  </si>
  <si>
    <t>average diameter</t>
  </si>
  <si>
    <t>error</t>
  </si>
  <si>
    <t>spot size</t>
  </si>
  <si>
    <t>wavelength</t>
  </si>
  <si>
    <t>duration</t>
  </si>
  <si>
    <t>av. spacing</t>
  </si>
  <si>
    <t>spacing error</t>
  </si>
  <si>
    <t>path</t>
  </si>
  <si>
    <t>\\MEB-JEOL\10-4mbar\tilt 0</t>
  </si>
  <si>
    <t>F (J/cm²)</t>
  </si>
  <si>
    <t>fourier</t>
  </si>
  <si>
    <t>min spacing</t>
  </si>
  <si>
    <t>max spacing</t>
  </si>
  <si>
    <t>Mean</t>
  </si>
  <si>
    <t>Ecart type</t>
  </si>
  <si>
    <t>ambiant pressure (Pa)</t>
  </si>
  <si>
    <t>\\MEB-JEOL\Pockels 3\F200\Tilt 0</t>
  </si>
  <si>
    <t>\\MEB-JEOL\Pockels 3\F850\Tilt 0</t>
  </si>
  <si>
    <t>N*F</t>
  </si>
  <si>
    <t>Y</t>
  </si>
  <si>
    <t>X</t>
  </si>
  <si>
    <t>Direction</t>
  </si>
  <si>
    <t>Datas</t>
  </si>
  <si>
    <t>Convert</t>
  </si>
  <si>
    <t>\\MEB-JEOL\chloé\AFM\11 juin</t>
  </si>
  <si>
    <t>\\MEB-JEOL\chloé\TEM\11 juin</t>
  </si>
  <si>
    <t>eye perp.</t>
  </si>
  <si>
    <t>eye para</t>
  </si>
  <si>
    <t>Hauteur des structures</t>
  </si>
  <si>
    <t>Rugosité</t>
  </si>
  <si>
    <t>Ripples</t>
  </si>
  <si>
    <t>Beads</t>
  </si>
  <si>
    <t>Spikes</t>
  </si>
  <si>
    <t>Largeur</t>
  </si>
  <si>
    <t>Chemin</t>
  </si>
  <si>
    <t>\\MEB-JEOL\Rémi\21juillet2008\R17</t>
  </si>
  <si>
    <t>Profondeur totale</t>
  </si>
  <si>
    <t>Delta</t>
  </si>
  <si>
    <t>Min</t>
  </si>
  <si>
    <t>Max</t>
  </si>
  <si>
    <t>\\MEB-JEOL\Sedao\19.05.2011</t>
  </si>
  <si>
    <t>Auteur</t>
  </si>
  <si>
    <t>Revue</t>
  </si>
  <si>
    <t>Année</t>
  </si>
  <si>
    <t>Matériau</t>
  </si>
  <si>
    <t>Gap (eV)</t>
  </si>
  <si>
    <t>Chakravarty</t>
  </si>
  <si>
    <t>JAP 109 084347</t>
  </si>
  <si>
    <t>GaAs</t>
  </si>
  <si>
    <t>wavelength (nm)</t>
  </si>
  <si>
    <t>?</t>
  </si>
  <si>
    <t>Reif</t>
  </si>
  <si>
    <t>Schade</t>
  </si>
  <si>
    <t>Si</t>
  </si>
  <si>
    <t>Orientation</t>
  </si>
  <si>
    <t>Rajouter Maxime !!</t>
  </si>
  <si>
    <t>Rajouter Sedao</t>
  </si>
  <si>
    <t>error rel</t>
  </si>
  <si>
    <t>period error</t>
  </si>
  <si>
    <t>av. period</t>
  </si>
  <si>
    <t>max period</t>
  </si>
  <si>
    <t>min period</t>
  </si>
  <si>
    <t xml:space="preserve">MSEB 134 </t>
  </si>
  <si>
    <t>relative</t>
  </si>
  <si>
    <t>av - error</t>
  </si>
  <si>
    <t>av + error</t>
  </si>
  <si>
    <t>erreur rel</t>
  </si>
  <si>
    <t>erreur / 2</t>
  </si>
  <si>
    <t>Costache</t>
  </si>
  <si>
    <t xml:space="preserve">APA 79 </t>
  </si>
  <si>
    <t>sp. Error / 2</t>
  </si>
  <si>
    <t>error / 2</t>
  </si>
  <si>
    <t>Bonse</t>
  </si>
  <si>
    <t>JAP</t>
  </si>
  <si>
    <t>UltraHighVacuum</t>
  </si>
  <si>
    <t>Air</t>
  </si>
  <si>
    <t>diamètre / période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</si>
</sst>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73">
    <xf numFmtId="0" fontId="0" fillId="0" borderId="0" xfId="0"/>
    <xf numFmtId="11" fontId="0" fillId="0" borderId="0" xfId="0" applyNumberFormat="1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1" fontId="0" fillId="0" borderId="0" xfId="0" applyNumberFormat="1" applyBorder="1"/>
    <xf numFmtId="11" fontId="0" fillId="0" borderId="1" xfId="0" applyNumberForma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1" fontId="3" fillId="0" borderId="0" xfId="0" applyNumberFormat="1" applyFont="1" applyBorder="1"/>
    <xf numFmtId="0" fontId="3" fillId="0" borderId="0" xfId="0" applyFont="1" applyBorder="1"/>
    <xf numFmtId="11" fontId="3" fillId="0" borderId="0" xfId="0" applyNumberFormat="1" applyFont="1" applyFill="1" applyBorder="1"/>
    <xf numFmtId="11" fontId="0" fillId="0" borderId="0" xfId="0" applyNumberFormat="1" applyFont="1" applyBorder="1" applyAlignment="1">
      <alignment horizontal="center"/>
    </xf>
    <xf numFmtId="11" fontId="0" fillId="0" borderId="6" xfId="0" applyNumberFormat="1" applyBorder="1"/>
    <xf numFmtId="11" fontId="0" fillId="0" borderId="7" xfId="0" applyNumberFormat="1" applyBorder="1"/>
    <xf numFmtId="0" fontId="0" fillId="0" borderId="8" xfId="0" applyBorder="1"/>
    <xf numFmtId="0" fontId="0" fillId="0" borderId="7" xfId="0" applyBorder="1"/>
    <xf numFmtId="11" fontId="3" fillId="0" borderId="6" xfId="0" applyNumberFormat="1" applyFont="1" applyBorder="1"/>
    <xf numFmtId="11" fontId="0" fillId="0" borderId="6" xfId="0" applyNumberFormat="1" applyFont="1" applyBorder="1" applyAlignment="1">
      <alignment horizontal="center"/>
    </xf>
    <xf numFmtId="0" fontId="0" fillId="0" borderId="6" xfId="0" applyBorder="1"/>
    <xf numFmtId="0" fontId="0" fillId="0" borderId="2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Border="1"/>
    <xf numFmtId="11" fontId="0" fillId="0" borderId="10" xfId="0" applyNumberFormat="1" applyBorder="1"/>
    <xf numFmtId="0" fontId="0" fillId="0" borderId="10" xfId="0" applyBorder="1"/>
    <xf numFmtId="0" fontId="0" fillId="0" borderId="11" xfId="0" applyBorder="1"/>
    <xf numFmtId="11" fontId="0" fillId="0" borderId="9" xfId="0" applyNumberFormat="1" applyBorder="1"/>
    <xf numFmtId="11" fontId="0" fillId="2" borderId="9" xfId="0" applyNumberFormat="1" applyFill="1" applyBorder="1"/>
    <xf numFmtId="11" fontId="0" fillId="2" borderId="11" xfId="0" applyNumberFormat="1" applyFill="1" applyBorder="1"/>
    <xf numFmtId="0" fontId="0" fillId="2" borderId="2" xfId="0" applyFill="1" applyBorder="1"/>
    <xf numFmtId="0" fontId="0" fillId="2" borderId="1" xfId="0" applyFill="1" applyBorder="1"/>
    <xf numFmtId="11" fontId="0" fillId="2" borderId="10" xfId="0" applyNumberFormat="1" applyFill="1" applyBorder="1"/>
    <xf numFmtId="0" fontId="0" fillId="2" borderId="0" xfId="0" applyFill="1" applyBorder="1"/>
    <xf numFmtId="11" fontId="0" fillId="0" borderId="11" xfId="0" applyNumberFormat="1" applyBorder="1"/>
    <xf numFmtId="11" fontId="0" fillId="0" borderId="2" xfId="0" applyNumberFormat="1" applyBorder="1"/>
    <xf numFmtId="11" fontId="0" fillId="0" borderId="0" xfId="0" applyNumberFormat="1" applyFill="1" applyBorder="1"/>
    <xf numFmtId="11" fontId="0" fillId="0" borderId="8" xfId="0" applyNumberFormat="1" applyBorder="1"/>
    <xf numFmtId="11" fontId="3" fillId="0" borderId="2" xfId="0" applyNumberFormat="1" applyFont="1" applyBorder="1"/>
    <xf numFmtId="11" fontId="3" fillId="0" borderId="2" xfId="0" applyNumberFormat="1" applyFont="1" applyFill="1" applyBorder="1"/>
    <xf numFmtId="0" fontId="3" fillId="0" borderId="2" xfId="0" applyFont="1" applyBorder="1"/>
    <xf numFmtId="11" fontId="3" fillId="0" borderId="8" xfId="0" applyNumberFormat="1" applyFont="1" applyBorder="1"/>
    <xf numFmtId="11" fontId="3" fillId="0" borderId="9" xfId="0" applyNumberFormat="1" applyFont="1" applyBorder="1"/>
    <xf numFmtId="11" fontId="3" fillId="0" borderId="10" xfId="0" applyNumberFormat="1" applyFont="1" applyBorder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0" xfId="1" applyFont="1" applyBorder="1"/>
    <xf numFmtId="9" fontId="0" fillId="0" borderId="6" xfId="1" applyFont="1" applyBorder="1"/>
    <xf numFmtId="9" fontId="0" fillId="0" borderId="11" xfId="1" applyFont="1" applyBorder="1"/>
    <xf numFmtId="9" fontId="0" fillId="0" borderId="1" xfId="1" applyFont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9" fontId="0" fillId="2" borderId="0" xfId="1" applyFont="1" applyFill="1" applyBorder="1"/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1" fontId="1" fillId="0" borderId="0" xfId="0" applyNumberFormat="1" applyFont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styles" Target="styles.xml"/><Relationship Id="rId5" Type="http://schemas.openxmlformats.org/officeDocument/2006/relationships/chartsheet" Target="chartsheets/sheet3.xml"/><Relationship Id="rId10" Type="http://schemas.openxmlformats.org/officeDocument/2006/relationships/theme" Target="theme/theme1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5"/>
          <c:order val="0"/>
          <c:tx>
            <c:v>F=0.064, littérature</c:v>
          </c:tx>
          <c:errBars>
            <c:errDir val="y"/>
            <c:errBarType val="both"/>
            <c:errValType val="cust"/>
            <c:plus>
              <c:numRef>
                <c:f>'Beads littérature'!$W$3</c:f>
                <c:numCache>
                  <c:formatCode>General</c:formatCode>
                  <c:ptCount val="1"/>
                  <c:pt idx="0">
                    <c:v>1.325E-7</c:v>
                  </c:pt>
                </c:numCache>
              </c:numRef>
            </c:plus>
            <c:minus>
              <c:numRef>
                <c:f>'Beads littérature'!$W$3</c:f>
                <c:numCache>
                  <c:formatCode>General</c:formatCode>
                  <c:ptCount val="1"/>
                  <c:pt idx="0">
                    <c:v>1.325E-7</c:v>
                  </c:pt>
                </c:numCache>
              </c:numRef>
            </c:minus>
          </c:errBars>
          <c:errBars>
            <c:errDir val="x"/>
            <c:errBarType val="both"/>
            <c:errValType val="fixedVal"/>
            <c:val val="1"/>
          </c:errBars>
          <c:xVal>
            <c:numRef>
              <c:f>'Beads littérature'!$E$3</c:f>
              <c:numCache>
                <c:formatCode>General</c:formatCode>
                <c:ptCount val="1"/>
                <c:pt idx="0">
                  <c:v>120000</c:v>
                </c:pt>
              </c:numCache>
            </c:numRef>
          </c:xVal>
          <c:yVal>
            <c:numRef>
              <c:f>'Beads littérature'!$U$3</c:f>
              <c:numCache>
                <c:formatCode>0.00E+00</c:formatCode>
                <c:ptCount val="1"/>
                <c:pt idx="0">
                  <c:v>2.4449999999999999E-6</c:v>
                </c:pt>
              </c:numCache>
            </c:numRef>
          </c:yVal>
        </c:ser>
        <c:ser>
          <c:idx val="4"/>
          <c:order val="1"/>
          <c:tx>
            <c:v>F=0.16, littérature</c:v>
          </c:tx>
          <c:errBars>
            <c:errDir val="y"/>
            <c:errBarType val="both"/>
            <c:errValType val="cust"/>
            <c:plus>
              <c:numRef>
                <c:f>'Beads littérature'!$W$6:$W$8</c:f>
                <c:numCache>
                  <c:formatCode>General</c:formatCode>
                  <c:ptCount val="3"/>
                  <c:pt idx="0">
                    <c:v>4.9999999999999998E-8</c:v>
                  </c:pt>
                  <c:pt idx="1">
                    <c:v>7.7499999999999999E-8</c:v>
                  </c:pt>
                  <c:pt idx="2">
                    <c:v>3.2249999999999998E-7</c:v>
                  </c:pt>
                </c:numCache>
              </c:numRef>
            </c:plus>
            <c:minus>
              <c:numRef>
                <c:f>'Beads littérature'!$W$6:$W$8</c:f>
                <c:numCache>
                  <c:formatCode>General</c:formatCode>
                  <c:ptCount val="3"/>
                  <c:pt idx="0">
                    <c:v>4.9999999999999998E-8</c:v>
                  </c:pt>
                  <c:pt idx="1">
                    <c:v>7.7499999999999999E-8</c:v>
                  </c:pt>
                  <c:pt idx="2">
                    <c:v>3.2249999999999998E-7</c:v>
                  </c:pt>
                </c:numCache>
              </c:numRef>
            </c:minus>
          </c:errBars>
          <c:errBars>
            <c:errDir val="x"/>
            <c:errBarType val="both"/>
            <c:errValType val="fixedVal"/>
            <c:val val="1"/>
          </c:errBars>
          <c:xVal>
            <c:numRef>
              <c:f>'Beads littérature'!$E$6:$E$8</c:f>
              <c:numCache>
                <c:formatCode>General</c:formatCode>
                <c:ptCount val="3"/>
                <c:pt idx="0">
                  <c:v>1000</c:v>
                </c:pt>
                <c:pt idx="1">
                  <c:v>10000</c:v>
                </c:pt>
                <c:pt idx="2">
                  <c:v>20000</c:v>
                </c:pt>
              </c:numCache>
            </c:numRef>
          </c:xVal>
          <c:yVal>
            <c:numRef>
              <c:f>'Beads littérature'!$U$6:$U$8</c:f>
              <c:numCache>
                <c:formatCode>0.00E+00</c:formatCode>
                <c:ptCount val="3"/>
                <c:pt idx="0">
                  <c:v>1.6499999999999999E-6</c:v>
                </c:pt>
                <c:pt idx="1">
                  <c:v>2.8050000000000002E-6</c:v>
                </c:pt>
                <c:pt idx="2">
                  <c:v>2.9850000000000002E-6</c:v>
                </c:pt>
              </c:numCache>
            </c:numRef>
          </c:yVal>
        </c:ser>
        <c:ser>
          <c:idx val="0"/>
          <c:order val="2"/>
          <c:tx>
            <c:v>F=0.2</c:v>
          </c:tx>
          <c:spPr>
            <a:ln w="19050"/>
          </c:spPr>
          <c:errBars>
            <c:errDir val="y"/>
            <c:errBarType val="both"/>
            <c:errValType val="cust"/>
            <c:plus>
              <c:numRef>
                <c:f>'Beads LP3'!$R$10:$R$15</c:f>
                <c:numCache>
                  <c:formatCode>General</c:formatCode>
                  <c:ptCount val="6"/>
                  <c:pt idx="0">
                    <c:v>1.7499999999999997E-7</c:v>
                  </c:pt>
                  <c:pt idx="1">
                    <c:v>3.6749999999999998E-7</c:v>
                  </c:pt>
                  <c:pt idx="2">
                    <c:v>1.7500000000000002E-7</c:v>
                  </c:pt>
                  <c:pt idx="3">
                    <c:v>1.7999999999999997E-7</c:v>
                  </c:pt>
                  <c:pt idx="4">
                    <c:v>1.3749999999999995E-7</c:v>
                  </c:pt>
                  <c:pt idx="5">
                    <c:v>1.2249999999999999E-7</c:v>
                  </c:pt>
                </c:numCache>
              </c:numRef>
            </c:plus>
            <c:minus>
              <c:numRef>
                <c:f>'Beads LP3'!$R$10:$R$15</c:f>
                <c:numCache>
                  <c:formatCode>General</c:formatCode>
                  <c:ptCount val="6"/>
                  <c:pt idx="0">
                    <c:v>1.7499999999999997E-7</c:v>
                  </c:pt>
                  <c:pt idx="1">
                    <c:v>3.6749999999999998E-7</c:v>
                  </c:pt>
                  <c:pt idx="2">
                    <c:v>1.7500000000000002E-7</c:v>
                  </c:pt>
                  <c:pt idx="3">
                    <c:v>1.7999999999999997E-7</c:v>
                  </c:pt>
                  <c:pt idx="4">
                    <c:v>1.3749999999999995E-7</c:v>
                  </c:pt>
                  <c:pt idx="5">
                    <c:v>1.2249999999999999E-7</c:v>
                  </c:pt>
                </c:numCache>
              </c:numRef>
            </c:minus>
            <c:spPr>
              <a:ln>
                <a:solidFill>
                  <a:srgbClr val="0070C0"/>
                </a:solidFill>
              </a:ln>
            </c:spPr>
          </c:errBars>
          <c:xVal>
            <c:numRef>
              <c:f>'Beads LP3'!$E$10:$E$15</c:f>
              <c:numCache>
                <c:formatCode>General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80</c:v>
                </c:pt>
              </c:numCache>
            </c:numRef>
          </c:xVal>
          <c:yVal>
            <c:numRef>
              <c:f>'Beads LP3'!$P$10:$P$15</c:f>
              <c:numCache>
                <c:formatCode>0.00E+00</c:formatCode>
                <c:ptCount val="6"/>
                <c:pt idx="0">
                  <c:v>1.9099999999999999E-6</c:v>
                </c:pt>
                <c:pt idx="1">
                  <c:v>2.6649999999999999E-6</c:v>
                </c:pt>
                <c:pt idx="2">
                  <c:v>2.65E-6</c:v>
                </c:pt>
                <c:pt idx="3">
                  <c:v>2.74E-6</c:v>
                </c:pt>
                <c:pt idx="4">
                  <c:v>2.785E-6</c:v>
                </c:pt>
                <c:pt idx="5">
                  <c:v>2.2650000000000003E-6</c:v>
                </c:pt>
              </c:numCache>
            </c:numRef>
          </c:yVal>
        </c:ser>
        <c:ser>
          <c:idx val="6"/>
          <c:order val="3"/>
          <c:tx>
            <c:v>F=0.42, air, littérature</c:v>
          </c:tx>
          <c:errBars>
            <c:errDir val="y"/>
            <c:errBarType val="both"/>
            <c:errValType val="cust"/>
            <c:plus>
              <c:numRef>
                <c:f>'Beads littérature'!$W$10:$W$11</c:f>
                <c:numCache>
                  <c:formatCode>General</c:formatCode>
                  <c:ptCount val="2"/>
                  <c:pt idx="0">
                    <c:v>1.3750000000000001E-7</c:v>
                  </c:pt>
                  <c:pt idx="1">
                    <c:v>5.6749999995599999E-7</c:v>
                  </c:pt>
                </c:numCache>
              </c:numRef>
            </c:plus>
            <c:minus>
              <c:numRef>
                <c:f>'Beads littérature'!$W$10:$W$11</c:f>
                <c:numCache>
                  <c:formatCode>General</c:formatCode>
                  <c:ptCount val="2"/>
                  <c:pt idx="0">
                    <c:v>1.3750000000000001E-7</c:v>
                  </c:pt>
                  <c:pt idx="1">
                    <c:v>5.6749999995599999E-7</c:v>
                  </c:pt>
                </c:numCache>
              </c:numRef>
            </c:minus>
          </c:errBars>
          <c:errBars>
            <c:errDir val="x"/>
            <c:errBarType val="both"/>
            <c:errValType val="fixedVal"/>
            <c:val val="1"/>
          </c:errBars>
          <c:xVal>
            <c:numRef>
              <c:f>'Beads littérature'!$E$10:$E$11</c:f>
              <c:numCache>
                <c:formatCode>General</c:formatCode>
                <c:ptCount val="2"/>
                <c:pt idx="0">
                  <c:v>100</c:v>
                </c:pt>
                <c:pt idx="1">
                  <c:v>500</c:v>
                </c:pt>
              </c:numCache>
            </c:numRef>
          </c:xVal>
          <c:yVal>
            <c:numRef>
              <c:f>'Beads littérature'!$U$10:$U$11</c:f>
              <c:numCache>
                <c:formatCode>0.00E+00</c:formatCode>
                <c:ptCount val="2"/>
                <c:pt idx="0">
                  <c:v>1.9350000000000001E-6</c:v>
                </c:pt>
                <c:pt idx="1">
                  <c:v>1.1350000000879999E-6</c:v>
                </c:pt>
              </c:numCache>
            </c:numRef>
          </c:yVal>
        </c:ser>
        <c:ser>
          <c:idx val="3"/>
          <c:order val="4"/>
          <c:tx>
            <c:v>F=0.5</c:v>
          </c:tx>
          <c:spPr>
            <a:ln w="19050"/>
          </c:spPr>
          <c:errBars>
            <c:errDir val="y"/>
            <c:errBarType val="both"/>
            <c:errValType val="cust"/>
            <c:plus>
              <c:numRef>
                <c:f>'Beads LP3'!$R$26:$R$31</c:f>
                <c:numCache>
                  <c:formatCode>General</c:formatCode>
                  <c:ptCount val="6"/>
                  <c:pt idx="0">
                    <c:v>1.0249999999999997E-7</c:v>
                  </c:pt>
                  <c:pt idx="1">
                    <c:v>2.7500000000000001E-7</c:v>
                  </c:pt>
                  <c:pt idx="2">
                    <c:v>1.1999999999999996E-7</c:v>
                  </c:pt>
                  <c:pt idx="3">
                    <c:v>1.7749999999999994E-7</c:v>
                  </c:pt>
                  <c:pt idx="4">
                    <c:v>8.499999999999998E-8</c:v>
                  </c:pt>
                  <c:pt idx="5">
                    <c:v>3.3000000000000002E-7</c:v>
                  </c:pt>
                </c:numCache>
              </c:numRef>
            </c:plus>
            <c:minus>
              <c:numRef>
                <c:f>'Beads LP3'!$R$26:$R$31</c:f>
                <c:numCache>
                  <c:formatCode>General</c:formatCode>
                  <c:ptCount val="6"/>
                  <c:pt idx="0">
                    <c:v>1.0249999999999997E-7</c:v>
                  </c:pt>
                  <c:pt idx="1">
                    <c:v>2.7500000000000001E-7</c:v>
                  </c:pt>
                  <c:pt idx="2">
                    <c:v>1.1999999999999996E-7</c:v>
                  </c:pt>
                  <c:pt idx="3">
                    <c:v>1.7749999999999994E-7</c:v>
                  </c:pt>
                  <c:pt idx="4">
                    <c:v>8.499999999999998E-8</c:v>
                  </c:pt>
                  <c:pt idx="5">
                    <c:v>3.3000000000000002E-7</c:v>
                  </c:pt>
                </c:numCache>
              </c:numRef>
            </c:minus>
            <c:spPr>
              <a:ln>
                <a:solidFill>
                  <a:srgbClr val="7030A0"/>
                </a:solidFill>
              </a:ln>
            </c:spPr>
          </c:errBars>
          <c:xVal>
            <c:numRef>
              <c:f>'Beads LP3'!$E$26:$E$31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50</c:v>
                </c:pt>
              </c:numCache>
            </c:numRef>
          </c:xVal>
          <c:yVal>
            <c:numRef>
              <c:f>'Beads LP3'!$P$26:$P$31</c:f>
              <c:numCache>
                <c:formatCode>0.00E+00</c:formatCode>
                <c:ptCount val="6"/>
                <c:pt idx="0">
                  <c:v>1.885E-6</c:v>
                </c:pt>
                <c:pt idx="1">
                  <c:v>2.2199999999999999E-6</c:v>
                </c:pt>
                <c:pt idx="2">
                  <c:v>1.99E-6</c:v>
                </c:pt>
                <c:pt idx="3">
                  <c:v>2.2249999999999999E-6</c:v>
                </c:pt>
                <c:pt idx="4">
                  <c:v>1.73E-6</c:v>
                </c:pt>
                <c:pt idx="5">
                  <c:v>3.0599999999999999E-6</c:v>
                </c:pt>
              </c:numCache>
            </c:numRef>
          </c:yVal>
        </c:ser>
        <c:ser>
          <c:idx val="1"/>
          <c:order val="5"/>
          <c:tx>
            <c:v>F=0.7</c:v>
          </c:tx>
          <c:spPr>
            <a:ln w="19050"/>
          </c:spPr>
          <c:errBars>
            <c:errDir val="y"/>
            <c:errBarType val="both"/>
            <c:errValType val="cust"/>
            <c:plus>
              <c:numRef>
                <c:f>'Beads LP3'!$R$3:$R$9</c:f>
                <c:numCache>
                  <c:formatCode>General</c:formatCode>
                  <c:ptCount val="7"/>
                  <c:pt idx="0">
                    <c:v>2.5750000000000002E-7</c:v>
                  </c:pt>
                  <c:pt idx="1">
                    <c:v>8.5000000000000033E-8</c:v>
                  </c:pt>
                  <c:pt idx="2">
                    <c:v>3.6250000000000002E-7</c:v>
                  </c:pt>
                  <c:pt idx="3">
                    <c:v>2.1750000000000004E-7</c:v>
                  </c:pt>
                  <c:pt idx="4">
                    <c:v>2.5250000000000002E-7</c:v>
                  </c:pt>
                  <c:pt idx="5">
                    <c:v>7.744526603201277E-7</c:v>
                  </c:pt>
                  <c:pt idx="6">
                    <c:v>1.7500000000000002E-7</c:v>
                  </c:pt>
                </c:numCache>
              </c:numRef>
            </c:plus>
            <c:minus>
              <c:numRef>
                <c:f>'Beads LP3'!$R$3:$R$9</c:f>
                <c:numCache>
                  <c:formatCode>General</c:formatCode>
                  <c:ptCount val="7"/>
                  <c:pt idx="0">
                    <c:v>2.5750000000000002E-7</c:v>
                  </c:pt>
                  <c:pt idx="1">
                    <c:v>8.5000000000000033E-8</c:v>
                  </c:pt>
                  <c:pt idx="2">
                    <c:v>3.6250000000000002E-7</c:v>
                  </c:pt>
                  <c:pt idx="3">
                    <c:v>2.1750000000000004E-7</c:v>
                  </c:pt>
                  <c:pt idx="4">
                    <c:v>2.5250000000000002E-7</c:v>
                  </c:pt>
                  <c:pt idx="5">
                    <c:v>7.744526603201277E-7</c:v>
                  </c:pt>
                  <c:pt idx="6">
                    <c:v>1.7500000000000002E-7</c:v>
                  </c:pt>
                </c:numCache>
              </c:numRef>
            </c:minus>
            <c:spPr>
              <a:ln>
                <a:solidFill>
                  <a:srgbClr val="C0504D">
                    <a:shade val="95000"/>
                    <a:satMod val="105000"/>
                  </a:srgbClr>
                </a:solidFill>
              </a:ln>
            </c:spPr>
          </c:errBars>
          <c:xVal>
            <c:numRef>
              <c:f>'Beads LP3'!$E$3:$E$9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80</c:v>
                </c:pt>
              </c:numCache>
            </c:numRef>
          </c:xVal>
          <c:yVal>
            <c:numRef>
              <c:f>'Beads LP3'!$P$3:$P$9</c:f>
              <c:numCache>
                <c:formatCode>0.00E+00</c:formatCode>
                <c:ptCount val="7"/>
                <c:pt idx="0">
                  <c:v>1.7849999999999999E-6</c:v>
                </c:pt>
                <c:pt idx="1">
                  <c:v>1.68E-6</c:v>
                </c:pt>
                <c:pt idx="2">
                  <c:v>2.6649999999999999E-6</c:v>
                </c:pt>
                <c:pt idx="3">
                  <c:v>2.7049999999999999E-6</c:v>
                </c:pt>
                <c:pt idx="4">
                  <c:v>2.9050000000000001E-6</c:v>
                </c:pt>
                <c:pt idx="5">
                  <c:v>3.9807692307692309E-6</c:v>
                </c:pt>
                <c:pt idx="6">
                  <c:v>5.4500000000000003E-6</c:v>
                </c:pt>
              </c:numCache>
            </c:numRef>
          </c:yVal>
        </c:ser>
        <c:ser>
          <c:idx val="2"/>
          <c:order val="6"/>
          <c:tx>
            <c:v>F=0.85</c:v>
          </c:tx>
          <c:spPr>
            <a:ln w="19050"/>
          </c:spPr>
          <c:marker>
            <c:symbol val="triangle"/>
            <c:size val="7"/>
          </c:marker>
          <c:errBars>
            <c:errDir val="y"/>
            <c:errBarType val="both"/>
            <c:errValType val="cust"/>
            <c:plus>
              <c:numRef>
                <c:f>'Beads LP3'!$R$16:$R$25</c:f>
                <c:numCache>
                  <c:formatCode>General</c:formatCode>
                  <c:ptCount val="10"/>
                  <c:pt idx="0">
                    <c:v>4.9999999999999945E-8</c:v>
                  </c:pt>
                  <c:pt idx="1">
                    <c:v>9.2499999999999961E-8</c:v>
                  </c:pt>
                  <c:pt idx="2">
                    <c:v>1.2499999999999997E-7</c:v>
                  </c:pt>
                  <c:pt idx="3">
                    <c:v>1.5749999999999997E-7</c:v>
                  </c:pt>
                  <c:pt idx="4">
                    <c:v>2.4500000000000009E-7</c:v>
                  </c:pt>
                  <c:pt idx="5">
                    <c:v>1.3275E-6</c:v>
                  </c:pt>
                  <c:pt idx="6">
                    <c:v>7.6250000000000011E-7</c:v>
                  </c:pt>
                  <c:pt idx="7">
                    <c:v>2.2902744688917065E-7</c:v>
                  </c:pt>
                  <c:pt idx="8">
                    <c:v>2.573057519761229E-7</c:v>
                  </c:pt>
                  <c:pt idx="9">
                    <c:v>0</c:v>
                  </c:pt>
                </c:numCache>
              </c:numRef>
            </c:plus>
            <c:minus>
              <c:numRef>
                <c:f>'Beads LP3'!$R$16:$R$25</c:f>
                <c:numCache>
                  <c:formatCode>General</c:formatCode>
                  <c:ptCount val="10"/>
                  <c:pt idx="0">
                    <c:v>4.9999999999999945E-8</c:v>
                  </c:pt>
                  <c:pt idx="1">
                    <c:v>9.2499999999999961E-8</c:v>
                  </c:pt>
                  <c:pt idx="2">
                    <c:v>1.2499999999999997E-7</c:v>
                  </c:pt>
                  <c:pt idx="3">
                    <c:v>1.5749999999999997E-7</c:v>
                  </c:pt>
                  <c:pt idx="4">
                    <c:v>2.4500000000000009E-7</c:v>
                  </c:pt>
                  <c:pt idx="5">
                    <c:v>1.3275E-6</c:v>
                  </c:pt>
                  <c:pt idx="6">
                    <c:v>7.6250000000000011E-7</c:v>
                  </c:pt>
                  <c:pt idx="7">
                    <c:v>2.2902744688917065E-7</c:v>
                  </c:pt>
                  <c:pt idx="8">
                    <c:v>2.573057519761229E-7</c:v>
                  </c:pt>
                  <c:pt idx="9">
                    <c:v>0</c:v>
                  </c:pt>
                </c:numCache>
              </c:numRef>
            </c:minus>
            <c:spPr>
              <a:ln>
                <a:solidFill>
                  <a:srgbClr val="92D050"/>
                </a:solidFill>
              </a:ln>
            </c:spPr>
          </c:errBars>
          <c:xVal>
            <c:numRef>
              <c:f>'Beads LP3'!$E$16:$E$25</c:f>
              <c:numCache>
                <c:formatCode>General</c:formatCode>
                <c:ptCount val="10"/>
                <c:pt idx="0">
                  <c:v>6</c:v>
                </c:pt>
                <c:pt idx="1">
                  <c:v>7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</c:numCache>
            </c:numRef>
          </c:xVal>
          <c:yVal>
            <c:numRef>
              <c:f>'Beads LP3'!$P$16:$P$25</c:f>
              <c:numCache>
                <c:formatCode>0.00E+00</c:formatCode>
                <c:ptCount val="10"/>
                <c:pt idx="0">
                  <c:v>2.2900000000000001E-6</c:v>
                </c:pt>
                <c:pt idx="1">
                  <c:v>2.7350000000000001E-6</c:v>
                </c:pt>
                <c:pt idx="2">
                  <c:v>2.2800000000000002E-6</c:v>
                </c:pt>
                <c:pt idx="3">
                  <c:v>2.5749999999999999E-6</c:v>
                </c:pt>
                <c:pt idx="4">
                  <c:v>2.6300000000000002E-6</c:v>
                </c:pt>
                <c:pt idx="5">
                  <c:v>5.3749999999999994E-6</c:v>
                </c:pt>
                <c:pt idx="6">
                  <c:v>6.6050000000000003E-6</c:v>
                </c:pt>
                <c:pt idx="7">
                  <c:v>6.7885714285714277E-6</c:v>
                </c:pt>
                <c:pt idx="8">
                  <c:v>6.9724999999999997E-6</c:v>
                </c:pt>
                <c:pt idx="9">
                  <c:v>6.3257142857142854E-6</c:v>
                </c:pt>
              </c:numCache>
            </c:numRef>
          </c:yVal>
        </c:ser>
        <c:axId val="46388352"/>
        <c:axId val="46390272"/>
      </c:scatterChart>
      <c:valAx>
        <c:axId val="46388352"/>
        <c:scaling>
          <c:logBase val="10"/>
          <c:orientation val="minMax"/>
        </c:scaling>
        <c:axPos val="b"/>
        <c:majorGridlines>
          <c:spPr>
            <a:ln>
              <a:solidFill>
                <a:sysClr val="windowText" lastClr="000000">
                  <a:alpha val="18000"/>
                </a:sys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fr-FR" sz="1400"/>
                  <a:t>Nombre</a:t>
                </a:r>
                <a:r>
                  <a:rPr lang="fr-FR" sz="1400" baseline="0"/>
                  <a:t> d'irradiations</a:t>
                </a:r>
                <a:endParaRPr lang="fr-FR" sz="1400"/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fr-FR"/>
          </a:p>
        </c:txPr>
        <c:crossAx val="46390272"/>
        <c:crosses val="autoZero"/>
        <c:crossBetween val="midCat"/>
      </c:valAx>
      <c:valAx>
        <c:axId val="46390272"/>
        <c:scaling>
          <c:orientation val="minMax"/>
        </c:scaling>
        <c:axPos val="l"/>
        <c:majorGridlines>
          <c:spPr>
            <a:ln>
              <a:solidFill>
                <a:sysClr val="windowText" lastClr="000000">
                  <a:alpha val="14000"/>
                </a:sys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fr-FR" sz="1400"/>
                  <a:t>Période</a:t>
                </a:r>
                <a:r>
                  <a:rPr lang="fr-FR" sz="1400" baseline="0"/>
                  <a:t> [m]</a:t>
                </a:r>
                <a:endParaRPr lang="fr-FR" sz="1400"/>
              </a:p>
            </c:rich>
          </c:tx>
          <c:layout/>
        </c:title>
        <c:numFmt formatCode="0.00E+00" sourceLinked="0"/>
        <c:tickLblPos val="nextTo"/>
        <c:txPr>
          <a:bodyPr/>
          <a:lstStyle/>
          <a:p>
            <a:pPr>
              <a:defRPr sz="1400"/>
            </a:pPr>
            <a:endParaRPr lang="fr-FR"/>
          </a:p>
        </c:txPr>
        <c:crossAx val="46388352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600"/>
          </a:pPr>
          <a:endParaRPr lang="fr-FR"/>
        </a:p>
      </c:txPr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4"/>
          <c:order val="0"/>
          <c:tx>
            <c:v>F=0.064, littérature</c:v>
          </c:tx>
          <c:errBars>
            <c:errDir val="y"/>
            <c:errBarType val="both"/>
            <c:errValType val="cust"/>
            <c:plus>
              <c:numRef>
                <c:f>'Beads littérature'!$O$3</c:f>
                <c:numCache>
                  <c:formatCode>General</c:formatCode>
                  <c:ptCount val="1"/>
                  <c:pt idx="0">
                    <c:v>1.3199999999999999E-7</c:v>
                  </c:pt>
                </c:numCache>
              </c:numRef>
            </c:plus>
            <c:minus>
              <c:numRef>
                <c:f>'Beads littérature'!$O$3</c:f>
                <c:numCache>
                  <c:formatCode>General</c:formatCode>
                  <c:ptCount val="1"/>
                  <c:pt idx="0">
                    <c:v>1.3199999999999999E-7</c:v>
                  </c:pt>
                </c:numCache>
              </c:numRef>
            </c:minus>
          </c:errBars>
          <c:errBars>
            <c:errDir val="x"/>
            <c:errBarType val="both"/>
            <c:errValType val="fixedVal"/>
            <c:val val="1"/>
          </c:errBars>
          <c:xVal>
            <c:numRef>
              <c:f>'Beads littérature'!$E$3</c:f>
              <c:numCache>
                <c:formatCode>General</c:formatCode>
                <c:ptCount val="1"/>
                <c:pt idx="0">
                  <c:v>120000</c:v>
                </c:pt>
              </c:numCache>
            </c:numRef>
          </c:xVal>
          <c:yVal>
            <c:numRef>
              <c:f>'Beads littérature'!$M$3</c:f>
              <c:numCache>
                <c:formatCode>0.00E+00</c:formatCode>
                <c:ptCount val="1"/>
                <c:pt idx="0">
                  <c:v>2.43E-6</c:v>
                </c:pt>
              </c:numCache>
            </c:numRef>
          </c:yVal>
        </c:ser>
        <c:ser>
          <c:idx val="5"/>
          <c:order val="1"/>
          <c:tx>
            <c:v>F=0.16, littérature</c:v>
          </c:tx>
          <c:errBars>
            <c:errDir val="y"/>
            <c:errBarType val="both"/>
            <c:errValType val="cust"/>
            <c:plus>
              <c:numRef>
                <c:f>'Beads littérature'!$O$6:$O$8</c:f>
                <c:numCache>
                  <c:formatCode>General</c:formatCode>
                  <c:ptCount val="3"/>
                  <c:pt idx="0">
                    <c:v>1.4999999999999999E-7</c:v>
                  </c:pt>
                  <c:pt idx="1">
                    <c:v>2.22E-7</c:v>
                  </c:pt>
                  <c:pt idx="2">
                    <c:v>1.6500000000000001E-7</c:v>
                  </c:pt>
                </c:numCache>
              </c:numRef>
            </c:plus>
            <c:minus>
              <c:numRef>
                <c:f>'Beads littérature'!$O$6:$O$8</c:f>
                <c:numCache>
                  <c:formatCode>General</c:formatCode>
                  <c:ptCount val="3"/>
                  <c:pt idx="0">
                    <c:v>1.4999999999999999E-7</c:v>
                  </c:pt>
                  <c:pt idx="1">
                    <c:v>2.22E-7</c:v>
                  </c:pt>
                  <c:pt idx="2">
                    <c:v>1.6500000000000001E-7</c:v>
                  </c:pt>
                </c:numCache>
              </c:numRef>
            </c:minus>
          </c:errBars>
          <c:errBars>
            <c:errDir val="x"/>
            <c:errBarType val="both"/>
            <c:errValType val="fixedVal"/>
            <c:val val="1"/>
          </c:errBars>
          <c:xVal>
            <c:numRef>
              <c:f>'Beads littérature'!$E$6:$E$8</c:f>
              <c:numCache>
                <c:formatCode>General</c:formatCode>
                <c:ptCount val="3"/>
                <c:pt idx="0">
                  <c:v>1000</c:v>
                </c:pt>
                <c:pt idx="1">
                  <c:v>10000</c:v>
                </c:pt>
                <c:pt idx="2">
                  <c:v>20000</c:v>
                </c:pt>
              </c:numCache>
            </c:numRef>
          </c:xVal>
          <c:yVal>
            <c:numRef>
              <c:f>'Beads littérature'!$M$6:$M$8</c:f>
              <c:numCache>
                <c:formatCode>0.00E+00</c:formatCode>
                <c:ptCount val="3"/>
                <c:pt idx="0">
                  <c:v>1.48E-6</c:v>
                </c:pt>
                <c:pt idx="1">
                  <c:v>2.3099999999999999E-6</c:v>
                </c:pt>
                <c:pt idx="2">
                  <c:v>2.1799999999999999E-6</c:v>
                </c:pt>
              </c:numCache>
            </c:numRef>
          </c:yVal>
        </c:ser>
        <c:ser>
          <c:idx val="0"/>
          <c:order val="2"/>
          <c:tx>
            <c:v>F=0.2</c:v>
          </c:tx>
          <c:spPr>
            <a:ln w="19050"/>
          </c:spPr>
          <c:errBars>
            <c:errDir val="y"/>
            <c:errBarType val="both"/>
            <c:errValType val="cust"/>
            <c:plus>
              <c:numRef>
                <c:f>'Beads LP3'!$J$10:$J$15</c:f>
                <c:numCache>
                  <c:formatCode>General</c:formatCode>
                  <c:ptCount val="6"/>
                  <c:pt idx="0">
                    <c:v>1.0180455130624921E-7</c:v>
                  </c:pt>
                  <c:pt idx="1">
                    <c:v>8.3819415677064061E-8</c:v>
                  </c:pt>
                  <c:pt idx="2">
                    <c:v>9.7178958627883904E-8</c:v>
                  </c:pt>
                  <c:pt idx="3">
                    <c:v>1.8929065582049283E-7</c:v>
                  </c:pt>
                  <c:pt idx="4">
                    <c:v>1.219756350897814E-7</c:v>
                  </c:pt>
                  <c:pt idx="5">
                    <c:v>1.1332414178413584E-7</c:v>
                  </c:pt>
                </c:numCache>
              </c:numRef>
            </c:plus>
            <c:minus>
              <c:numRef>
                <c:f>'Beads LP3'!$I$10:$I$15</c:f>
                <c:numCache>
                  <c:formatCode>General</c:formatCode>
                  <c:ptCount val="6"/>
                  <c:pt idx="0">
                    <c:v>1.0180455130624921E-7</c:v>
                  </c:pt>
                  <c:pt idx="1">
                    <c:v>8.3819415677064061E-8</c:v>
                  </c:pt>
                  <c:pt idx="2">
                    <c:v>9.7178958627883904E-8</c:v>
                  </c:pt>
                  <c:pt idx="3">
                    <c:v>1.8929065582049283E-7</c:v>
                  </c:pt>
                  <c:pt idx="4">
                    <c:v>1.219756350897814E-7</c:v>
                  </c:pt>
                  <c:pt idx="5">
                    <c:v>1.1332414178413584E-7</c:v>
                  </c:pt>
                </c:numCache>
              </c:numRef>
            </c:minus>
            <c:spPr>
              <a:ln>
                <a:solidFill>
                  <a:srgbClr val="0070C0"/>
                </a:solidFill>
              </a:ln>
            </c:spPr>
          </c:errBars>
          <c:xVal>
            <c:numRef>
              <c:f>'Beads LP3'!$E$10:$E$15</c:f>
              <c:numCache>
                <c:formatCode>General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80</c:v>
                </c:pt>
              </c:numCache>
            </c:numRef>
          </c:xVal>
          <c:yVal>
            <c:numRef>
              <c:f>'Beads LP3'!$G$10:$G$15</c:f>
              <c:numCache>
                <c:formatCode>0.00E+00</c:formatCode>
                <c:ptCount val="6"/>
                <c:pt idx="0">
                  <c:v>1.0783333333333333E-6</c:v>
                </c:pt>
                <c:pt idx="1">
                  <c:v>1.2555555555555555E-6</c:v>
                </c:pt>
                <c:pt idx="2">
                  <c:v>1.5300000000000002E-6</c:v>
                </c:pt>
                <c:pt idx="3">
                  <c:v>1.577142857142857E-6</c:v>
                </c:pt>
                <c:pt idx="4">
                  <c:v>1.6670000000000001E-6</c:v>
                </c:pt>
                <c:pt idx="5">
                  <c:v>1.5522222222222223E-6</c:v>
                </c:pt>
              </c:numCache>
            </c:numRef>
          </c:yVal>
        </c:ser>
        <c:ser>
          <c:idx val="6"/>
          <c:order val="3"/>
          <c:tx>
            <c:v>F=0.42, littérature</c:v>
          </c:tx>
          <c:errBars>
            <c:errDir val="y"/>
            <c:errBarType val="both"/>
            <c:errValType val="cust"/>
            <c:plus>
              <c:numRef>
                <c:f>'Beads littérature'!$O$10:$O$11</c:f>
                <c:numCache>
                  <c:formatCode>General</c:formatCode>
                  <c:ptCount val="2"/>
                  <c:pt idx="0">
                    <c:v>2.3050000000000001E-7</c:v>
                  </c:pt>
                  <c:pt idx="1">
                    <c:v>1.5900000000000001E-7</c:v>
                  </c:pt>
                </c:numCache>
              </c:numRef>
            </c:plus>
            <c:minus>
              <c:numRef>
                <c:f>'Beads littérature'!$O$10:$O$11</c:f>
                <c:numCache>
                  <c:formatCode>General</c:formatCode>
                  <c:ptCount val="2"/>
                  <c:pt idx="0">
                    <c:v>2.3050000000000001E-7</c:v>
                  </c:pt>
                  <c:pt idx="1">
                    <c:v>1.5900000000000001E-7</c:v>
                  </c:pt>
                </c:numCache>
              </c:numRef>
            </c:minus>
          </c:errBars>
          <c:errBars>
            <c:errDir val="x"/>
            <c:errBarType val="both"/>
            <c:errValType val="fixedVal"/>
            <c:val val="1"/>
          </c:errBars>
          <c:xVal>
            <c:numRef>
              <c:f>'Beads littérature'!$E$10:$E$11</c:f>
              <c:numCache>
                <c:formatCode>General</c:formatCode>
                <c:ptCount val="2"/>
                <c:pt idx="0">
                  <c:v>100</c:v>
                </c:pt>
                <c:pt idx="1">
                  <c:v>500</c:v>
                </c:pt>
              </c:numCache>
            </c:numRef>
          </c:xVal>
          <c:yVal>
            <c:numRef>
              <c:f>'Beads littérature'!$M$10:$M$11</c:f>
              <c:numCache>
                <c:formatCode>0.00E+00</c:formatCode>
                <c:ptCount val="2"/>
                <c:pt idx="0">
                  <c:v>1.39E-6</c:v>
                </c:pt>
                <c:pt idx="1">
                  <c:v>1.33E-6</c:v>
                </c:pt>
              </c:numCache>
            </c:numRef>
          </c:yVal>
        </c:ser>
        <c:ser>
          <c:idx val="3"/>
          <c:order val="4"/>
          <c:tx>
            <c:v>F=0.5</c:v>
          </c:tx>
          <c:spPr>
            <a:ln w="19050"/>
          </c:spPr>
          <c:errBars>
            <c:errDir val="y"/>
            <c:errBarType val="both"/>
            <c:errValType val="cust"/>
            <c:plus>
              <c:numRef>
                <c:f>'Beads LP3'!$J$26:$J$31</c:f>
                <c:numCache>
                  <c:formatCode>General</c:formatCode>
                  <c:ptCount val="6"/>
                  <c:pt idx="0">
                    <c:v>1.000624804809485E-7</c:v>
                  </c:pt>
                  <c:pt idx="1">
                    <c:v>8.0981822377342067E-8</c:v>
                  </c:pt>
                  <c:pt idx="2">
                    <c:v>1.1316163464511995E-7</c:v>
                  </c:pt>
                  <c:pt idx="3">
                    <c:v>9.8126901963167094E-8</c:v>
                  </c:pt>
                  <c:pt idx="4">
                    <c:v>1.2369316876853062E-7</c:v>
                  </c:pt>
                  <c:pt idx="5">
                    <c:v>2.7706171594871062E-7</c:v>
                  </c:pt>
                </c:numCache>
              </c:numRef>
            </c:plus>
            <c:minus>
              <c:numRef>
                <c:f>'Beads LP3'!$I$26:$I$31</c:f>
                <c:numCache>
                  <c:formatCode>General</c:formatCode>
                  <c:ptCount val="6"/>
                  <c:pt idx="0">
                    <c:v>1.000624804809485E-7</c:v>
                  </c:pt>
                  <c:pt idx="1">
                    <c:v>8.0981822377342067E-8</c:v>
                  </c:pt>
                  <c:pt idx="2">
                    <c:v>1.1316163464511995E-7</c:v>
                  </c:pt>
                  <c:pt idx="3">
                    <c:v>9.8126901963167094E-8</c:v>
                  </c:pt>
                  <c:pt idx="4">
                    <c:v>1.2369316876853062E-7</c:v>
                  </c:pt>
                  <c:pt idx="5">
                    <c:v>2.7706171594871062E-7</c:v>
                  </c:pt>
                </c:numCache>
              </c:numRef>
            </c:minus>
            <c:spPr>
              <a:ln>
                <a:solidFill>
                  <a:srgbClr val="7030A0"/>
                </a:solidFill>
              </a:ln>
            </c:spPr>
          </c:errBars>
          <c:xVal>
            <c:numRef>
              <c:f>'Beads LP3'!$E$26:$E$31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50</c:v>
                </c:pt>
              </c:numCache>
            </c:numRef>
          </c:xVal>
          <c:yVal>
            <c:numRef>
              <c:f>'Beads LP3'!$G$26:$G$31</c:f>
              <c:numCache>
                <c:formatCode>0.00E+00</c:formatCode>
                <c:ptCount val="6"/>
                <c:pt idx="0">
                  <c:v>1.3666666666666664E-6</c:v>
                </c:pt>
                <c:pt idx="1">
                  <c:v>1.3490000000000001E-6</c:v>
                </c:pt>
                <c:pt idx="2">
                  <c:v>1.3E-6</c:v>
                </c:pt>
                <c:pt idx="3">
                  <c:v>1.4459999999999998E-6</c:v>
                </c:pt>
                <c:pt idx="4">
                  <c:v>1.5533333333333332E-6</c:v>
                </c:pt>
                <c:pt idx="5">
                  <c:v>2.1744444444444451E-6</c:v>
                </c:pt>
              </c:numCache>
            </c:numRef>
          </c:yVal>
        </c:ser>
        <c:ser>
          <c:idx val="1"/>
          <c:order val="5"/>
          <c:tx>
            <c:v>F=0.7</c:v>
          </c:tx>
          <c:spPr>
            <a:ln w="19050"/>
          </c:spPr>
          <c:errBars>
            <c:errDir val="y"/>
            <c:errBarType val="both"/>
            <c:errValType val="cust"/>
            <c:plus>
              <c:numRef>
                <c:f>'Beads LP3'!$J$3:$J$9</c:f>
                <c:numCache>
                  <c:formatCode>General</c:formatCode>
                  <c:ptCount val="7"/>
                  <c:pt idx="0">
                    <c:v>1.00065950474897E-7</c:v>
                  </c:pt>
                  <c:pt idx="1">
                    <c:v>4.8255273583013898E-8</c:v>
                  </c:pt>
                  <c:pt idx="2">
                    <c:v>1.76264479310684E-7</c:v>
                  </c:pt>
                  <c:pt idx="3">
                    <c:v>2.2977832126438051E-7</c:v>
                  </c:pt>
                  <c:pt idx="4">
                    <c:v>1.2600505040383499E-7</c:v>
                  </c:pt>
                  <c:pt idx="5">
                    <c:v>1.7910710778918333E-7</c:v>
                  </c:pt>
                  <c:pt idx="6">
                    <c:v>2.6019223662515305E-7</c:v>
                  </c:pt>
                </c:numCache>
              </c:numRef>
            </c:plus>
            <c:minus>
              <c:numRef>
                <c:f>'Beads LP3'!$I$3:$I$9</c:f>
                <c:numCache>
                  <c:formatCode>General</c:formatCode>
                  <c:ptCount val="7"/>
                  <c:pt idx="0">
                    <c:v>1.00065950474897E-7</c:v>
                  </c:pt>
                  <c:pt idx="1">
                    <c:v>4.8255273583013898E-8</c:v>
                  </c:pt>
                  <c:pt idx="2">
                    <c:v>1.76264479310684E-7</c:v>
                  </c:pt>
                  <c:pt idx="3">
                    <c:v>2.2977832126438051E-7</c:v>
                  </c:pt>
                  <c:pt idx="4">
                    <c:v>1.2600505040383499E-7</c:v>
                  </c:pt>
                  <c:pt idx="5">
                    <c:v>1.7910710778918333E-7</c:v>
                  </c:pt>
                  <c:pt idx="6">
                    <c:v>2.6019223662515305E-7</c:v>
                  </c:pt>
                </c:numCache>
              </c:numRef>
            </c:minus>
            <c:spPr>
              <a:ln>
                <a:solidFill>
                  <a:srgbClr val="C00000"/>
                </a:solidFill>
              </a:ln>
            </c:spPr>
          </c:errBars>
          <c:xVal>
            <c:numRef>
              <c:f>'Beads LP3'!$E$3:$E$9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80</c:v>
                </c:pt>
              </c:numCache>
            </c:numRef>
          </c:xVal>
          <c:yVal>
            <c:numRef>
              <c:f>'Beads LP3'!$G$3:$G$9</c:f>
              <c:numCache>
                <c:formatCode>0.00E+00</c:formatCode>
                <c:ptCount val="7"/>
                <c:pt idx="0">
                  <c:v>8.0555555555555503E-7</c:v>
                </c:pt>
                <c:pt idx="1">
                  <c:v>1.2750000000000001E-6</c:v>
                </c:pt>
                <c:pt idx="2">
                  <c:v>1.889E-6</c:v>
                </c:pt>
                <c:pt idx="3">
                  <c:v>2.22615384615385E-6</c:v>
                </c:pt>
                <c:pt idx="4">
                  <c:v>1.9490909090909087E-6</c:v>
                </c:pt>
                <c:pt idx="5">
                  <c:v>2.2091666666666665E-6</c:v>
                </c:pt>
                <c:pt idx="6">
                  <c:v>2.293333333333334E-6</c:v>
                </c:pt>
              </c:numCache>
            </c:numRef>
          </c:yVal>
        </c:ser>
        <c:ser>
          <c:idx val="2"/>
          <c:order val="6"/>
          <c:tx>
            <c:v>F=0.85</c:v>
          </c:tx>
          <c:spPr>
            <a:ln w="19050"/>
          </c:spPr>
          <c:marker>
            <c:symbol val="triangle"/>
            <c:size val="7"/>
          </c:marker>
          <c:errBars>
            <c:errDir val="y"/>
            <c:errBarType val="both"/>
            <c:errValType val="cust"/>
            <c:plus>
              <c:numRef>
                <c:f>'Beads LP3'!$J$16:$J$24</c:f>
                <c:numCache>
                  <c:formatCode>General</c:formatCode>
                  <c:ptCount val="9"/>
                  <c:pt idx="0">
                    <c:v>8.4301047838485862E-8</c:v>
                  </c:pt>
                  <c:pt idx="1">
                    <c:v>6.8732573548985052E-8</c:v>
                  </c:pt>
                  <c:pt idx="2">
                    <c:v>2.7717967354871353E-7</c:v>
                  </c:pt>
                  <c:pt idx="3">
                    <c:v>1.593005545083464E-7</c:v>
                  </c:pt>
                  <c:pt idx="4">
                    <c:v>3.9889534968460058E-7</c:v>
                  </c:pt>
                  <c:pt idx="5">
                    <c:v>6.2762780902909961E-7</c:v>
                  </c:pt>
                  <c:pt idx="6">
                    <c:v>4.5959130395022333E-7</c:v>
                  </c:pt>
                  <c:pt idx="7">
                    <c:v>4.6300422964230788E-7</c:v>
                  </c:pt>
                  <c:pt idx="8">
                    <c:v>3.8376316481218779E-7</c:v>
                  </c:pt>
                </c:numCache>
              </c:numRef>
            </c:plus>
            <c:minus>
              <c:numRef>
                <c:f>'Beads LP3'!$I$16:$I$24</c:f>
                <c:numCache>
                  <c:formatCode>General</c:formatCode>
                  <c:ptCount val="9"/>
                  <c:pt idx="0">
                    <c:v>8.4301047838485862E-8</c:v>
                  </c:pt>
                  <c:pt idx="1">
                    <c:v>6.8732573548985052E-8</c:v>
                  </c:pt>
                  <c:pt idx="2">
                    <c:v>2.7717967354871353E-7</c:v>
                  </c:pt>
                  <c:pt idx="3">
                    <c:v>1.593005545083464E-7</c:v>
                  </c:pt>
                  <c:pt idx="4">
                    <c:v>3.9889534968460058E-7</c:v>
                  </c:pt>
                  <c:pt idx="5">
                    <c:v>6.2762780902909961E-7</c:v>
                  </c:pt>
                  <c:pt idx="6">
                    <c:v>4.5959130395022333E-7</c:v>
                  </c:pt>
                  <c:pt idx="7">
                    <c:v>4.6300422964230788E-7</c:v>
                  </c:pt>
                  <c:pt idx="8">
                    <c:v>3.8376316481218779E-7</c:v>
                  </c:pt>
                </c:numCache>
              </c:numRef>
            </c:minus>
            <c:spPr>
              <a:ln>
                <a:solidFill>
                  <a:srgbClr val="92D050"/>
                </a:solidFill>
              </a:ln>
            </c:spPr>
          </c:errBars>
          <c:xVal>
            <c:numRef>
              <c:f>'Beads LP3'!$E$16:$E$24</c:f>
              <c:numCache>
                <c:formatCode>General</c:formatCode>
                <c:ptCount val="9"/>
                <c:pt idx="0">
                  <c:v>6</c:v>
                </c:pt>
                <c:pt idx="1">
                  <c:v>7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</c:numCache>
            </c:numRef>
          </c:xVal>
          <c:yVal>
            <c:numRef>
              <c:f>'Beads LP3'!$G$16:$G$24</c:f>
              <c:numCache>
                <c:formatCode>0.00E+00</c:formatCode>
                <c:ptCount val="9"/>
                <c:pt idx="0">
                  <c:v>1.1066666666666667E-6</c:v>
                </c:pt>
                <c:pt idx="1">
                  <c:v>9.7833333333333342E-7</c:v>
                </c:pt>
                <c:pt idx="2">
                  <c:v>1.3314285714285714E-6</c:v>
                </c:pt>
                <c:pt idx="3">
                  <c:v>1.2133333333333331E-6</c:v>
                </c:pt>
                <c:pt idx="4">
                  <c:v>2.2450000000000001E-6</c:v>
                </c:pt>
                <c:pt idx="5">
                  <c:v>4.2166666666666655E-6</c:v>
                </c:pt>
                <c:pt idx="6">
                  <c:v>3.2183333333333336E-6</c:v>
                </c:pt>
                <c:pt idx="7">
                  <c:v>2.9424999999999998E-6</c:v>
                </c:pt>
                <c:pt idx="8">
                  <c:v>4.7316666666666665E-6</c:v>
                </c:pt>
              </c:numCache>
            </c:numRef>
          </c:yVal>
        </c:ser>
        <c:axId val="78670848"/>
        <c:axId val="87704704"/>
      </c:scatterChart>
      <c:valAx>
        <c:axId val="78670848"/>
        <c:scaling>
          <c:logBase val="10"/>
          <c:orientation val="minMax"/>
        </c:scaling>
        <c:axPos val="b"/>
        <c:majorGridlines>
          <c:spPr>
            <a:ln>
              <a:solidFill>
                <a:sysClr val="windowText" lastClr="000000">
                  <a:alpha val="12000"/>
                </a:sys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fr-FR" sz="1400"/>
                  <a:t>Nombre d'irradiations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fr-FR"/>
          </a:p>
        </c:txPr>
        <c:crossAx val="87704704"/>
        <c:crosses val="autoZero"/>
        <c:crossBetween val="midCat"/>
      </c:valAx>
      <c:valAx>
        <c:axId val="87704704"/>
        <c:scaling>
          <c:orientation val="minMax"/>
        </c:scaling>
        <c:axPos val="l"/>
        <c:majorGridlines>
          <c:spPr>
            <a:ln>
              <a:solidFill>
                <a:sysClr val="windowText" lastClr="000000">
                  <a:alpha val="21000"/>
                </a:sys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fr-FR" sz="1400"/>
                  <a:t>Diamètre</a:t>
                </a:r>
                <a:r>
                  <a:rPr lang="fr-FR" sz="1400" baseline="0"/>
                  <a:t> [m]</a:t>
                </a:r>
                <a:endParaRPr lang="fr-FR" sz="1400"/>
              </a:p>
            </c:rich>
          </c:tx>
          <c:layout/>
        </c:title>
        <c:numFmt formatCode="0.00E+00" sourceLinked="1"/>
        <c:tickLblPos val="nextTo"/>
        <c:txPr>
          <a:bodyPr/>
          <a:lstStyle/>
          <a:p>
            <a:pPr>
              <a:defRPr sz="1400"/>
            </a:pPr>
            <a:endParaRPr lang="fr-FR"/>
          </a:p>
        </c:txPr>
        <c:crossAx val="78670848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400"/>
          </a:pPr>
          <a:endParaRPr lang="fr-FR"/>
        </a:p>
      </c:txPr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1"/>
          <c:order val="0"/>
          <c:tx>
            <c:v>Littérature</c:v>
          </c:tx>
          <c:spPr>
            <a:ln w="28575">
              <a:noFill/>
            </a:ln>
          </c:spPr>
          <c:errBars>
            <c:errDir val="y"/>
            <c:errBarType val="both"/>
            <c:errValType val="cust"/>
            <c:plus>
              <c:numRef>
                <c:f>'Beads littérature'!$W$3:$W$11</c:f>
                <c:numCache>
                  <c:formatCode>General</c:formatCode>
                  <c:ptCount val="7"/>
                  <c:pt idx="0">
                    <c:v>1.325E-7</c:v>
                  </c:pt>
                  <c:pt idx="1">
                    <c:v>2.3000000000000002E-7</c:v>
                  </c:pt>
                  <c:pt idx="2">
                    <c:v>4.9999999999999998E-8</c:v>
                  </c:pt>
                  <c:pt idx="3">
                    <c:v>7.7499999999999999E-8</c:v>
                  </c:pt>
                  <c:pt idx="4">
                    <c:v>3.2249999999999998E-7</c:v>
                  </c:pt>
                  <c:pt idx="5">
                    <c:v>1.3750000000000001E-7</c:v>
                  </c:pt>
                  <c:pt idx="6">
                    <c:v>5.6749999995599999E-7</c:v>
                  </c:pt>
                </c:numCache>
              </c:numRef>
            </c:plus>
            <c:minus>
              <c:numRef>
                <c:f>'Beads littérature'!$W$3:$W$11</c:f>
                <c:numCache>
                  <c:formatCode>General</c:formatCode>
                  <c:ptCount val="7"/>
                  <c:pt idx="0">
                    <c:v>1.325E-7</c:v>
                  </c:pt>
                  <c:pt idx="1">
                    <c:v>2.3000000000000002E-7</c:v>
                  </c:pt>
                  <c:pt idx="2">
                    <c:v>4.9999999999999998E-8</c:v>
                  </c:pt>
                  <c:pt idx="3">
                    <c:v>7.7499999999999999E-8</c:v>
                  </c:pt>
                  <c:pt idx="4">
                    <c:v>3.2249999999999998E-7</c:v>
                  </c:pt>
                  <c:pt idx="5">
                    <c:v>1.3750000000000001E-7</c:v>
                  </c:pt>
                  <c:pt idx="6">
                    <c:v>5.6749999995599999E-7</c:v>
                  </c:pt>
                </c:numCache>
              </c:numRef>
            </c:minus>
          </c:errBars>
          <c:xVal>
            <c:numRef>
              <c:f>'Beads littérature'!$C$3:$C$11</c:f>
              <c:numCache>
                <c:formatCode>General</c:formatCode>
                <c:ptCount val="7"/>
                <c:pt idx="0">
                  <c:v>6.4000000000000001E-2</c:v>
                </c:pt>
                <c:pt idx="1">
                  <c:v>0.11</c:v>
                </c:pt>
                <c:pt idx="2">
                  <c:v>0.16</c:v>
                </c:pt>
                <c:pt idx="3">
                  <c:v>0.16</c:v>
                </c:pt>
                <c:pt idx="4">
                  <c:v>0.16</c:v>
                </c:pt>
                <c:pt idx="5">
                  <c:v>0.42</c:v>
                </c:pt>
                <c:pt idx="6">
                  <c:v>0.42</c:v>
                </c:pt>
              </c:numCache>
            </c:numRef>
          </c:xVal>
          <c:yVal>
            <c:numRef>
              <c:f>'Beads littérature'!$U$3:$U$11</c:f>
              <c:numCache>
                <c:formatCode>0.00E+00</c:formatCode>
                <c:ptCount val="7"/>
                <c:pt idx="0">
                  <c:v>2.4449999999999999E-6</c:v>
                </c:pt>
                <c:pt idx="1">
                  <c:v>1.6900000000000001E-6</c:v>
                </c:pt>
                <c:pt idx="2">
                  <c:v>1.6499999999999999E-6</c:v>
                </c:pt>
                <c:pt idx="3">
                  <c:v>2.8050000000000002E-6</c:v>
                </c:pt>
                <c:pt idx="4">
                  <c:v>2.9850000000000002E-6</c:v>
                </c:pt>
                <c:pt idx="5">
                  <c:v>1.9350000000000001E-6</c:v>
                </c:pt>
                <c:pt idx="6">
                  <c:v>1.1350000000879999E-6</c:v>
                </c:pt>
              </c:numCache>
            </c:numRef>
          </c:yVal>
        </c:ser>
        <c:ser>
          <c:idx val="0"/>
          <c:order val="1"/>
          <c:tx>
            <c:v>LP3</c:v>
          </c:tx>
          <c:spPr>
            <a:ln w="28575">
              <a:noFill/>
            </a:ln>
          </c:spPr>
          <c:errBars>
            <c:errDir val="y"/>
            <c:errBarType val="both"/>
            <c:errValType val="cust"/>
            <c:plus>
              <c:numRef>
                <c:f>'Beads LP3'!$R$3:$R$31</c:f>
                <c:numCache>
                  <c:formatCode>General</c:formatCode>
                  <c:ptCount val="29"/>
                  <c:pt idx="0">
                    <c:v>2.5750000000000002E-7</c:v>
                  </c:pt>
                  <c:pt idx="1">
                    <c:v>8.5000000000000033E-8</c:v>
                  </c:pt>
                  <c:pt idx="2">
                    <c:v>3.6250000000000002E-7</c:v>
                  </c:pt>
                  <c:pt idx="3">
                    <c:v>2.1750000000000004E-7</c:v>
                  </c:pt>
                  <c:pt idx="4">
                    <c:v>2.5250000000000002E-7</c:v>
                  </c:pt>
                  <c:pt idx="5">
                    <c:v>7.744526603201277E-7</c:v>
                  </c:pt>
                  <c:pt idx="6">
                    <c:v>1.7500000000000002E-7</c:v>
                  </c:pt>
                  <c:pt idx="7">
                    <c:v>1.7499999999999997E-7</c:v>
                  </c:pt>
                  <c:pt idx="8">
                    <c:v>3.6749999999999998E-7</c:v>
                  </c:pt>
                  <c:pt idx="9">
                    <c:v>1.7500000000000002E-7</c:v>
                  </c:pt>
                  <c:pt idx="10">
                    <c:v>1.7999999999999997E-7</c:v>
                  </c:pt>
                  <c:pt idx="11">
                    <c:v>1.3749999999999995E-7</c:v>
                  </c:pt>
                  <c:pt idx="12">
                    <c:v>1.2249999999999999E-7</c:v>
                  </c:pt>
                  <c:pt idx="13">
                    <c:v>4.9999999999999945E-8</c:v>
                  </c:pt>
                  <c:pt idx="14">
                    <c:v>9.2499999999999961E-8</c:v>
                  </c:pt>
                  <c:pt idx="15">
                    <c:v>1.2499999999999997E-7</c:v>
                  </c:pt>
                  <c:pt idx="16">
                    <c:v>1.5749999999999997E-7</c:v>
                  </c:pt>
                  <c:pt idx="17">
                    <c:v>2.4500000000000009E-7</c:v>
                  </c:pt>
                  <c:pt idx="18">
                    <c:v>1.3275E-6</c:v>
                  </c:pt>
                  <c:pt idx="19">
                    <c:v>7.6250000000000011E-7</c:v>
                  </c:pt>
                  <c:pt idx="20">
                    <c:v>2.2902744688917065E-7</c:v>
                  </c:pt>
                  <c:pt idx="21">
                    <c:v>2.573057519761229E-7</c:v>
                  </c:pt>
                  <c:pt idx="22">
                    <c:v>0</c:v>
                  </c:pt>
                  <c:pt idx="23">
                    <c:v>1.0249999999999997E-7</c:v>
                  </c:pt>
                  <c:pt idx="24">
                    <c:v>2.7500000000000001E-7</c:v>
                  </c:pt>
                  <c:pt idx="25">
                    <c:v>1.1999999999999996E-7</c:v>
                  </c:pt>
                  <c:pt idx="26">
                    <c:v>1.7749999999999994E-7</c:v>
                  </c:pt>
                  <c:pt idx="27">
                    <c:v>8.499999999999998E-8</c:v>
                  </c:pt>
                  <c:pt idx="28">
                    <c:v>3.3000000000000002E-7</c:v>
                  </c:pt>
                </c:numCache>
              </c:numRef>
            </c:plus>
            <c:minus>
              <c:numRef>
                <c:f>'Beads LP3'!$R$3:$R$31</c:f>
                <c:numCache>
                  <c:formatCode>General</c:formatCode>
                  <c:ptCount val="29"/>
                  <c:pt idx="0">
                    <c:v>2.5750000000000002E-7</c:v>
                  </c:pt>
                  <c:pt idx="1">
                    <c:v>8.5000000000000033E-8</c:v>
                  </c:pt>
                  <c:pt idx="2">
                    <c:v>3.6250000000000002E-7</c:v>
                  </c:pt>
                  <c:pt idx="3">
                    <c:v>2.1750000000000004E-7</c:v>
                  </c:pt>
                  <c:pt idx="4">
                    <c:v>2.5250000000000002E-7</c:v>
                  </c:pt>
                  <c:pt idx="5">
                    <c:v>7.744526603201277E-7</c:v>
                  </c:pt>
                  <c:pt idx="6">
                    <c:v>1.7500000000000002E-7</c:v>
                  </c:pt>
                  <c:pt idx="7">
                    <c:v>1.7499999999999997E-7</c:v>
                  </c:pt>
                  <c:pt idx="8">
                    <c:v>3.6749999999999998E-7</c:v>
                  </c:pt>
                  <c:pt idx="9">
                    <c:v>1.7500000000000002E-7</c:v>
                  </c:pt>
                  <c:pt idx="10">
                    <c:v>1.7999999999999997E-7</c:v>
                  </c:pt>
                  <c:pt idx="11">
                    <c:v>1.3749999999999995E-7</c:v>
                  </c:pt>
                  <c:pt idx="12">
                    <c:v>1.2249999999999999E-7</c:v>
                  </c:pt>
                  <c:pt idx="13">
                    <c:v>4.9999999999999945E-8</c:v>
                  </c:pt>
                  <c:pt idx="14">
                    <c:v>9.2499999999999961E-8</c:v>
                  </c:pt>
                  <c:pt idx="15">
                    <c:v>1.2499999999999997E-7</c:v>
                  </c:pt>
                  <c:pt idx="16">
                    <c:v>1.5749999999999997E-7</c:v>
                  </c:pt>
                  <c:pt idx="17">
                    <c:v>2.4500000000000009E-7</c:v>
                  </c:pt>
                  <c:pt idx="18">
                    <c:v>1.3275E-6</c:v>
                  </c:pt>
                  <c:pt idx="19">
                    <c:v>7.6250000000000011E-7</c:v>
                  </c:pt>
                  <c:pt idx="20">
                    <c:v>2.2902744688917065E-7</c:v>
                  </c:pt>
                  <c:pt idx="21">
                    <c:v>2.573057519761229E-7</c:v>
                  </c:pt>
                  <c:pt idx="22">
                    <c:v>0</c:v>
                  </c:pt>
                  <c:pt idx="23">
                    <c:v>1.0249999999999997E-7</c:v>
                  </c:pt>
                  <c:pt idx="24">
                    <c:v>2.7500000000000001E-7</c:v>
                  </c:pt>
                  <c:pt idx="25">
                    <c:v>1.1999999999999996E-7</c:v>
                  </c:pt>
                  <c:pt idx="26">
                    <c:v>1.7749999999999994E-7</c:v>
                  </c:pt>
                  <c:pt idx="27">
                    <c:v>8.499999999999998E-8</c:v>
                  </c:pt>
                  <c:pt idx="28">
                    <c:v>3.3000000000000002E-7</c:v>
                  </c:pt>
                </c:numCache>
              </c:numRef>
            </c:minus>
          </c:errBars>
          <c:xVal>
            <c:numRef>
              <c:f>'Beads LP3'!$C$3:$C$31</c:f>
              <c:numCache>
                <c:formatCode>General</c:formatCode>
                <c:ptCount val="29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0.85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</c:numCache>
            </c:numRef>
          </c:xVal>
          <c:yVal>
            <c:numRef>
              <c:f>'Beads LP3'!$P$3:$P$31</c:f>
              <c:numCache>
                <c:formatCode>0.00E+00</c:formatCode>
                <c:ptCount val="29"/>
                <c:pt idx="0">
                  <c:v>1.7849999999999999E-6</c:v>
                </c:pt>
                <c:pt idx="1">
                  <c:v>1.68E-6</c:v>
                </c:pt>
                <c:pt idx="2">
                  <c:v>2.6649999999999999E-6</c:v>
                </c:pt>
                <c:pt idx="3">
                  <c:v>2.7049999999999999E-6</c:v>
                </c:pt>
                <c:pt idx="4">
                  <c:v>2.9050000000000001E-6</c:v>
                </c:pt>
                <c:pt idx="5">
                  <c:v>3.9807692307692309E-6</c:v>
                </c:pt>
                <c:pt idx="6">
                  <c:v>5.4500000000000003E-6</c:v>
                </c:pt>
                <c:pt idx="7">
                  <c:v>1.9099999999999999E-6</c:v>
                </c:pt>
                <c:pt idx="8">
                  <c:v>2.6649999999999999E-6</c:v>
                </c:pt>
                <c:pt idx="9">
                  <c:v>2.65E-6</c:v>
                </c:pt>
                <c:pt idx="10">
                  <c:v>2.74E-6</c:v>
                </c:pt>
                <c:pt idx="11">
                  <c:v>2.785E-6</c:v>
                </c:pt>
                <c:pt idx="12">
                  <c:v>2.2650000000000003E-6</c:v>
                </c:pt>
                <c:pt idx="13">
                  <c:v>2.2900000000000001E-6</c:v>
                </c:pt>
                <c:pt idx="14">
                  <c:v>2.7350000000000001E-6</c:v>
                </c:pt>
                <c:pt idx="15">
                  <c:v>2.2800000000000002E-6</c:v>
                </c:pt>
                <c:pt idx="16">
                  <c:v>2.5749999999999999E-6</c:v>
                </c:pt>
                <c:pt idx="17">
                  <c:v>2.6300000000000002E-6</c:v>
                </c:pt>
                <c:pt idx="18">
                  <c:v>5.3749999999999994E-6</c:v>
                </c:pt>
                <c:pt idx="19">
                  <c:v>6.6050000000000003E-6</c:v>
                </c:pt>
                <c:pt idx="20">
                  <c:v>6.7885714285714277E-6</c:v>
                </c:pt>
                <c:pt idx="21">
                  <c:v>6.9724999999999997E-6</c:v>
                </c:pt>
                <c:pt idx="22">
                  <c:v>6.3257142857142854E-6</c:v>
                </c:pt>
                <c:pt idx="23">
                  <c:v>1.885E-6</c:v>
                </c:pt>
                <c:pt idx="24">
                  <c:v>2.2199999999999999E-6</c:v>
                </c:pt>
                <c:pt idx="25">
                  <c:v>1.99E-6</c:v>
                </c:pt>
                <c:pt idx="26">
                  <c:v>2.2249999999999999E-6</c:v>
                </c:pt>
                <c:pt idx="27">
                  <c:v>1.73E-6</c:v>
                </c:pt>
                <c:pt idx="28">
                  <c:v>3.0599999999999999E-6</c:v>
                </c:pt>
              </c:numCache>
            </c:numRef>
          </c:yVal>
        </c:ser>
        <c:axId val="99434496"/>
        <c:axId val="99437568"/>
      </c:scatterChart>
      <c:valAx>
        <c:axId val="99434496"/>
        <c:scaling>
          <c:orientation val="minMax"/>
        </c:scaling>
        <c:axPos val="b"/>
        <c:majorGridlines>
          <c:spPr>
            <a:ln>
              <a:solidFill>
                <a:sysClr val="windowText" lastClr="000000">
                  <a:alpha val="20000"/>
                </a:sys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fr-FR" sz="1400"/>
                  <a:t>Fluence laser</a:t>
                </a:r>
                <a:r>
                  <a:rPr lang="fr-FR" sz="1400" baseline="0"/>
                  <a:t> [J/cm²]</a:t>
                </a:r>
                <a:endParaRPr lang="fr-FR" sz="1400"/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fr-FR"/>
          </a:p>
        </c:txPr>
        <c:crossAx val="99437568"/>
        <c:crosses val="autoZero"/>
        <c:crossBetween val="midCat"/>
      </c:valAx>
      <c:valAx>
        <c:axId val="99437568"/>
        <c:scaling>
          <c:orientation val="minMax"/>
        </c:scaling>
        <c:axPos val="l"/>
        <c:majorGridlines>
          <c:spPr>
            <a:ln>
              <a:solidFill>
                <a:sysClr val="windowText" lastClr="000000">
                  <a:alpha val="20000"/>
                </a:sys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fr-FR" sz="1400"/>
                  <a:t>Période [m]</a:t>
                </a:r>
              </a:p>
            </c:rich>
          </c:tx>
          <c:layout/>
        </c:title>
        <c:numFmt formatCode="0.00E+00" sourceLinked="1"/>
        <c:tickLblPos val="nextTo"/>
        <c:txPr>
          <a:bodyPr/>
          <a:lstStyle/>
          <a:p>
            <a:pPr>
              <a:defRPr sz="1400"/>
            </a:pPr>
            <a:endParaRPr lang="fr-FR"/>
          </a:p>
        </c:txPr>
        <c:crossAx val="99434496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400"/>
          </a:pPr>
          <a:endParaRPr lang="fr-FR"/>
        </a:p>
      </c:txPr>
    </c:legend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tx>
            <c:v>LP3</c:v>
          </c:tx>
          <c:spPr>
            <a:ln w="28575">
              <a:noFill/>
            </a:ln>
          </c:spPr>
          <c:errBars>
            <c:errDir val="y"/>
            <c:errBarType val="both"/>
            <c:errValType val="cust"/>
            <c:plus>
              <c:numRef>
                <c:f>'Beads LP3'!$J$3:$J$31</c:f>
                <c:numCache>
                  <c:formatCode>General</c:formatCode>
                  <c:ptCount val="29"/>
                  <c:pt idx="0">
                    <c:v>1.00065950474897E-7</c:v>
                  </c:pt>
                  <c:pt idx="1">
                    <c:v>4.8255273583013898E-8</c:v>
                  </c:pt>
                  <c:pt idx="2">
                    <c:v>1.76264479310684E-7</c:v>
                  </c:pt>
                  <c:pt idx="3">
                    <c:v>2.2977832126438051E-7</c:v>
                  </c:pt>
                  <c:pt idx="4">
                    <c:v>1.2600505040383499E-7</c:v>
                  </c:pt>
                  <c:pt idx="5">
                    <c:v>1.7910710778918333E-7</c:v>
                  </c:pt>
                  <c:pt idx="6">
                    <c:v>2.6019223662515305E-7</c:v>
                  </c:pt>
                  <c:pt idx="7">
                    <c:v>1.0180455130624921E-7</c:v>
                  </c:pt>
                  <c:pt idx="8">
                    <c:v>8.3819415677064061E-8</c:v>
                  </c:pt>
                  <c:pt idx="9">
                    <c:v>9.7178958627883904E-8</c:v>
                  </c:pt>
                  <c:pt idx="10">
                    <c:v>1.8929065582049283E-7</c:v>
                  </c:pt>
                  <c:pt idx="11">
                    <c:v>1.219756350897814E-7</c:v>
                  </c:pt>
                  <c:pt idx="12">
                    <c:v>1.1332414178413584E-7</c:v>
                  </c:pt>
                  <c:pt idx="13">
                    <c:v>8.4301047838485862E-8</c:v>
                  </c:pt>
                  <c:pt idx="14">
                    <c:v>6.8732573548985052E-8</c:v>
                  </c:pt>
                  <c:pt idx="15">
                    <c:v>2.7717967354871353E-7</c:v>
                  </c:pt>
                  <c:pt idx="16">
                    <c:v>1.593005545083464E-7</c:v>
                  </c:pt>
                  <c:pt idx="17">
                    <c:v>3.9889534968460058E-7</c:v>
                  </c:pt>
                  <c:pt idx="18">
                    <c:v>6.2762780902909961E-7</c:v>
                  </c:pt>
                  <c:pt idx="19">
                    <c:v>4.5959130395022333E-7</c:v>
                  </c:pt>
                  <c:pt idx="20">
                    <c:v>4.6300422964230788E-7</c:v>
                  </c:pt>
                  <c:pt idx="21">
                    <c:v>3.8376316481218779E-7</c:v>
                  </c:pt>
                  <c:pt idx="22">
                    <c:v>0</c:v>
                  </c:pt>
                  <c:pt idx="23">
                    <c:v>1.000624804809485E-7</c:v>
                  </c:pt>
                  <c:pt idx="24">
                    <c:v>8.0981822377342067E-8</c:v>
                  </c:pt>
                  <c:pt idx="25">
                    <c:v>1.1316163464511995E-7</c:v>
                  </c:pt>
                  <c:pt idx="26">
                    <c:v>9.8126901963167094E-8</c:v>
                  </c:pt>
                  <c:pt idx="27">
                    <c:v>1.2369316876853062E-7</c:v>
                  </c:pt>
                  <c:pt idx="28">
                    <c:v>2.7706171594871062E-7</c:v>
                  </c:pt>
                </c:numCache>
              </c:numRef>
            </c:plus>
            <c:minus>
              <c:numRef>
                <c:f>'Beads LP3'!$J$3:$J$31</c:f>
                <c:numCache>
                  <c:formatCode>General</c:formatCode>
                  <c:ptCount val="29"/>
                  <c:pt idx="0">
                    <c:v>1.00065950474897E-7</c:v>
                  </c:pt>
                  <c:pt idx="1">
                    <c:v>4.8255273583013898E-8</c:v>
                  </c:pt>
                  <c:pt idx="2">
                    <c:v>1.76264479310684E-7</c:v>
                  </c:pt>
                  <c:pt idx="3">
                    <c:v>2.2977832126438051E-7</c:v>
                  </c:pt>
                  <c:pt idx="4">
                    <c:v>1.2600505040383499E-7</c:v>
                  </c:pt>
                  <c:pt idx="5">
                    <c:v>1.7910710778918333E-7</c:v>
                  </c:pt>
                  <c:pt idx="6">
                    <c:v>2.6019223662515305E-7</c:v>
                  </c:pt>
                  <c:pt idx="7">
                    <c:v>1.0180455130624921E-7</c:v>
                  </c:pt>
                  <c:pt idx="8">
                    <c:v>8.3819415677064061E-8</c:v>
                  </c:pt>
                  <c:pt idx="9">
                    <c:v>9.7178958627883904E-8</c:v>
                  </c:pt>
                  <c:pt idx="10">
                    <c:v>1.8929065582049283E-7</c:v>
                  </c:pt>
                  <c:pt idx="11">
                    <c:v>1.219756350897814E-7</c:v>
                  </c:pt>
                  <c:pt idx="12">
                    <c:v>1.1332414178413584E-7</c:v>
                  </c:pt>
                  <c:pt idx="13">
                    <c:v>8.4301047838485862E-8</c:v>
                  </c:pt>
                  <c:pt idx="14">
                    <c:v>6.8732573548985052E-8</c:v>
                  </c:pt>
                  <c:pt idx="15">
                    <c:v>2.7717967354871353E-7</c:v>
                  </c:pt>
                  <c:pt idx="16">
                    <c:v>1.593005545083464E-7</c:v>
                  </c:pt>
                  <c:pt idx="17">
                    <c:v>3.9889534968460058E-7</c:v>
                  </c:pt>
                  <c:pt idx="18">
                    <c:v>6.2762780902909961E-7</c:v>
                  </c:pt>
                  <c:pt idx="19">
                    <c:v>4.5959130395022333E-7</c:v>
                  </c:pt>
                  <c:pt idx="20">
                    <c:v>4.6300422964230788E-7</c:v>
                  </c:pt>
                  <c:pt idx="21">
                    <c:v>3.8376316481218779E-7</c:v>
                  </c:pt>
                  <c:pt idx="22">
                    <c:v>0</c:v>
                  </c:pt>
                  <c:pt idx="23">
                    <c:v>1.000624804809485E-7</c:v>
                  </c:pt>
                  <c:pt idx="24">
                    <c:v>8.0981822377342067E-8</c:v>
                  </c:pt>
                  <c:pt idx="25">
                    <c:v>1.1316163464511995E-7</c:v>
                  </c:pt>
                  <c:pt idx="26">
                    <c:v>9.8126901963167094E-8</c:v>
                  </c:pt>
                  <c:pt idx="27">
                    <c:v>1.2369316876853062E-7</c:v>
                  </c:pt>
                  <c:pt idx="28">
                    <c:v>2.7706171594871062E-7</c:v>
                  </c:pt>
                </c:numCache>
              </c:numRef>
            </c:minus>
          </c:errBars>
          <c:xVal>
            <c:numRef>
              <c:f>'Beads LP3'!$C$3:$C$31</c:f>
              <c:numCache>
                <c:formatCode>General</c:formatCode>
                <c:ptCount val="29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0.85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</c:numCache>
            </c:numRef>
          </c:xVal>
          <c:yVal>
            <c:numRef>
              <c:f>'Beads LP3'!$G$3:$G$31</c:f>
              <c:numCache>
                <c:formatCode>0.00E+00</c:formatCode>
                <c:ptCount val="29"/>
                <c:pt idx="0">
                  <c:v>8.0555555555555503E-7</c:v>
                </c:pt>
                <c:pt idx="1">
                  <c:v>1.2750000000000001E-6</c:v>
                </c:pt>
                <c:pt idx="2">
                  <c:v>1.889E-6</c:v>
                </c:pt>
                <c:pt idx="3">
                  <c:v>2.22615384615385E-6</c:v>
                </c:pt>
                <c:pt idx="4">
                  <c:v>1.9490909090909087E-6</c:v>
                </c:pt>
                <c:pt idx="5">
                  <c:v>2.2091666666666665E-6</c:v>
                </c:pt>
                <c:pt idx="6">
                  <c:v>2.293333333333334E-6</c:v>
                </c:pt>
                <c:pt idx="7">
                  <c:v>1.0783333333333333E-6</c:v>
                </c:pt>
                <c:pt idx="8">
                  <c:v>1.2555555555555555E-6</c:v>
                </c:pt>
                <c:pt idx="9">
                  <c:v>1.5300000000000002E-6</c:v>
                </c:pt>
                <c:pt idx="10">
                  <c:v>1.577142857142857E-6</c:v>
                </c:pt>
                <c:pt idx="11">
                  <c:v>1.6670000000000001E-6</c:v>
                </c:pt>
                <c:pt idx="12">
                  <c:v>1.5522222222222223E-6</c:v>
                </c:pt>
                <c:pt idx="13">
                  <c:v>1.1066666666666667E-6</c:v>
                </c:pt>
                <c:pt idx="14">
                  <c:v>9.7833333333333342E-7</c:v>
                </c:pt>
                <c:pt idx="15">
                  <c:v>1.3314285714285714E-6</c:v>
                </c:pt>
                <c:pt idx="16">
                  <c:v>1.2133333333333331E-6</c:v>
                </c:pt>
                <c:pt idx="17">
                  <c:v>2.2450000000000001E-6</c:v>
                </c:pt>
                <c:pt idx="18">
                  <c:v>4.2166666666666655E-6</c:v>
                </c:pt>
                <c:pt idx="19">
                  <c:v>3.2183333333333336E-6</c:v>
                </c:pt>
                <c:pt idx="20">
                  <c:v>2.9424999999999998E-6</c:v>
                </c:pt>
                <c:pt idx="21">
                  <c:v>4.7316666666666665E-6</c:v>
                </c:pt>
                <c:pt idx="23">
                  <c:v>1.3666666666666664E-6</c:v>
                </c:pt>
                <c:pt idx="24">
                  <c:v>1.3490000000000001E-6</c:v>
                </c:pt>
                <c:pt idx="25">
                  <c:v>1.3E-6</c:v>
                </c:pt>
                <c:pt idx="26">
                  <c:v>1.4459999999999998E-6</c:v>
                </c:pt>
                <c:pt idx="27">
                  <c:v>1.5533333333333332E-6</c:v>
                </c:pt>
                <c:pt idx="28">
                  <c:v>2.1744444444444451E-6</c:v>
                </c:pt>
              </c:numCache>
            </c:numRef>
          </c:yVal>
        </c:ser>
        <c:ser>
          <c:idx val="1"/>
          <c:order val="1"/>
          <c:tx>
            <c:v>Littérature</c:v>
          </c:tx>
          <c:spPr>
            <a:ln w="28575">
              <a:noFill/>
            </a:ln>
          </c:spPr>
          <c:errBars>
            <c:errDir val="y"/>
            <c:errBarType val="both"/>
            <c:errValType val="cust"/>
            <c:plus>
              <c:numRef>
                <c:f>'Beads littérature'!$O$3:$O$11</c:f>
                <c:numCache>
                  <c:formatCode>General</c:formatCode>
                  <c:ptCount val="7"/>
                  <c:pt idx="0">
                    <c:v>1.3199999999999999E-7</c:v>
                  </c:pt>
                  <c:pt idx="1">
                    <c:v>0</c:v>
                  </c:pt>
                  <c:pt idx="2">
                    <c:v>1.4999999999999999E-7</c:v>
                  </c:pt>
                  <c:pt idx="3">
                    <c:v>2.22E-7</c:v>
                  </c:pt>
                  <c:pt idx="4">
                    <c:v>1.6500000000000001E-7</c:v>
                  </c:pt>
                  <c:pt idx="5">
                    <c:v>2.3050000000000001E-7</c:v>
                  </c:pt>
                  <c:pt idx="6">
                    <c:v>1.5900000000000001E-7</c:v>
                  </c:pt>
                </c:numCache>
              </c:numRef>
            </c:plus>
            <c:minus>
              <c:numRef>
                <c:f>'Beads littérature'!$O$3:$O$11</c:f>
                <c:numCache>
                  <c:formatCode>General</c:formatCode>
                  <c:ptCount val="7"/>
                  <c:pt idx="0">
                    <c:v>1.3199999999999999E-7</c:v>
                  </c:pt>
                  <c:pt idx="1">
                    <c:v>0</c:v>
                  </c:pt>
                  <c:pt idx="2">
                    <c:v>1.4999999999999999E-7</c:v>
                  </c:pt>
                  <c:pt idx="3">
                    <c:v>2.22E-7</c:v>
                  </c:pt>
                  <c:pt idx="4">
                    <c:v>1.6500000000000001E-7</c:v>
                  </c:pt>
                  <c:pt idx="5">
                    <c:v>2.3050000000000001E-7</c:v>
                  </c:pt>
                  <c:pt idx="6">
                    <c:v>1.5900000000000001E-7</c:v>
                  </c:pt>
                </c:numCache>
              </c:numRef>
            </c:minus>
          </c:errBars>
          <c:xVal>
            <c:numRef>
              <c:f>'Beads littérature'!$C$3:$C$11</c:f>
              <c:numCache>
                <c:formatCode>General</c:formatCode>
                <c:ptCount val="7"/>
                <c:pt idx="0">
                  <c:v>6.4000000000000001E-2</c:v>
                </c:pt>
                <c:pt idx="1">
                  <c:v>0.11</c:v>
                </c:pt>
                <c:pt idx="2">
                  <c:v>0.16</c:v>
                </c:pt>
                <c:pt idx="3">
                  <c:v>0.16</c:v>
                </c:pt>
                <c:pt idx="4">
                  <c:v>0.16</c:v>
                </c:pt>
                <c:pt idx="5">
                  <c:v>0.42</c:v>
                </c:pt>
                <c:pt idx="6">
                  <c:v>0.42</c:v>
                </c:pt>
              </c:numCache>
            </c:numRef>
          </c:xVal>
          <c:yVal>
            <c:numRef>
              <c:f>'Beads littérature'!$M$3:$M$11</c:f>
              <c:numCache>
                <c:formatCode>General</c:formatCode>
                <c:ptCount val="7"/>
                <c:pt idx="0" formatCode="0.00E+00">
                  <c:v>2.43E-6</c:v>
                </c:pt>
                <c:pt idx="2" formatCode="0.00E+00">
                  <c:v>1.48E-6</c:v>
                </c:pt>
                <c:pt idx="3" formatCode="0.00E+00">
                  <c:v>2.3099999999999999E-6</c:v>
                </c:pt>
                <c:pt idx="4" formatCode="0.00E+00">
                  <c:v>2.1799999999999999E-6</c:v>
                </c:pt>
                <c:pt idx="5" formatCode="0.00E+00">
                  <c:v>1.39E-6</c:v>
                </c:pt>
                <c:pt idx="6" formatCode="0.00E+00">
                  <c:v>1.33E-6</c:v>
                </c:pt>
              </c:numCache>
            </c:numRef>
          </c:yVal>
        </c:ser>
        <c:axId val="103568128"/>
        <c:axId val="103584896"/>
      </c:scatterChart>
      <c:valAx>
        <c:axId val="103568128"/>
        <c:scaling>
          <c:orientation val="minMax"/>
        </c:scaling>
        <c:axPos val="b"/>
        <c:majorGridlines>
          <c:spPr>
            <a:ln>
              <a:solidFill>
                <a:sysClr val="windowText" lastClr="000000">
                  <a:alpha val="20000"/>
                </a:sys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fr-FR" sz="1400"/>
                  <a:t>Fluence laser [J/cm²]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400"/>
            </a:pPr>
            <a:endParaRPr lang="fr-FR"/>
          </a:p>
        </c:txPr>
        <c:crossAx val="103584896"/>
        <c:crosses val="autoZero"/>
        <c:crossBetween val="midCat"/>
      </c:valAx>
      <c:valAx>
        <c:axId val="103584896"/>
        <c:scaling>
          <c:orientation val="minMax"/>
        </c:scaling>
        <c:axPos val="l"/>
        <c:majorGridlines>
          <c:spPr>
            <a:ln>
              <a:solidFill>
                <a:sysClr val="windowText" lastClr="000000">
                  <a:alpha val="20000"/>
                </a:sys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fr-FR" sz="1400"/>
                  <a:t>Diamètre [m]</a:t>
                </a:r>
              </a:p>
            </c:rich>
          </c:tx>
          <c:layout/>
        </c:title>
        <c:numFmt formatCode="0.00E+00" sourceLinked="1"/>
        <c:tickLblPos val="nextTo"/>
        <c:txPr>
          <a:bodyPr/>
          <a:lstStyle/>
          <a:p>
            <a:pPr>
              <a:defRPr sz="1400"/>
            </a:pPr>
            <a:endParaRPr lang="fr-FR"/>
          </a:p>
        </c:txPr>
        <c:crossAx val="103568128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400"/>
          </a:pPr>
          <a:endParaRPr lang="fr-FR"/>
        </a:p>
      </c:txPr>
    </c:legend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tx>
            <c:strRef>
              <c:f>'Beads LP3'!$P$2</c:f>
              <c:strCache>
                <c:ptCount val="1"/>
                <c:pt idx="0">
                  <c:v>av. period</c:v>
                </c:pt>
              </c:strCache>
            </c:strRef>
          </c:tx>
          <c:spPr>
            <a:ln w="28575">
              <a:noFill/>
            </a:ln>
          </c:spPr>
          <c:xVal>
            <c:numRef>
              <c:f>'Beads LP3'!$Y$3:$Y$31</c:f>
              <c:numCache>
                <c:formatCode>General</c:formatCode>
                <c:ptCount val="29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56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  <c:pt idx="11">
                  <c:v>12</c:v>
                </c:pt>
                <c:pt idx="12">
                  <c:v>16</c:v>
                </c:pt>
                <c:pt idx="13">
                  <c:v>5.0999999999999996</c:v>
                </c:pt>
                <c:pt idx="14">
                  <c:v>5.95</c:v>
                </c:pt>
                <c:pt idx="15">
                  <c:v>8.5</c:v>
                </c:pt>
                <c:pt idx="16">
                  <c:v>17</c:v>
                </c:pt>
                <c:pt idx="17">
                  <c:v>25.5</c:v>
                </c:pt>
                <c:pt idx="18">
                  <c:v>34</c:v>
                </c:pt>
                <c:pt idx="19">
                  <c:v>42.5</c:v>
                </c:pt>
                <c:pt idx="20">
                  <c:v>51</c:v>
                </c:pt>
                <c:pt idx="21">
                  <c:v>59.5</c:v>
                </c:pt>
                <c:pt idx="22">
                  <c:v>68</c:v>
                </c:pt>
                <c:pt idx="23">
                  <c:v>5.5</c:v>
                </c:pt>
                <c:pt idx="24">
                  <c:v>6</c:v>
                </c:pt>
                <c:pt idx="25">
                  <c:v>6.5</c:v>
                </c:pt>
                <c:pt idx="26">
                  <c:v>7</c:v>
                </c:pt>
                <c:pt idx="27">
                  <c:v>7.5</c:v>
                </c:pt>
                <c:pt idx="28">
                  <c:v>25</c:v>
                </c:pt>
              </c:numCache>
            </c:numRef>
          </c:xVal>
          <c:yVal>
            <c:numRef>
              <c:f>'Beads LP3'!$P$3:$P$31</c:f>
              <c:numCache>
                <c:formatCode>0.00E+00</c:formatCode>
                <c:ptCount val="29"/>
                <c:pt idx="0">
                  <c:v>1.7849999999999999E-6</c:v>
                </c:pt>
                <c:pt idx="1">
                  <c:v>1.68E-6</c:v>
                </c:pt>
                <c:pt idx="2">
                  <c:v>2.6649999999999999E-6</c:v>
                </c:pt>
                <c:pt idx="3">
                  <c:v>2.7049999999999999E-6</c:v>
                </c:pt>
                <c:pt idx="4">
                  <c:v>2.9050000000000001E-6</c:v>
                </c:pt>
                <c:pt idx="5">
                  <c:v>3.9807692307692309E-6</c:v>
                </c:pt>
                <c:pt idx="6">
                  <c:v>5.4500000000000003E-6</c:v>
                </c:pt>
                <c:pt idx="7">
                  <c:v>1.9099999999999999E-6</c:v>
                </c:pt>
                <c:pt idx="8">
                  <c:v>2.6649999999999999E-6</c:v>
                </c:pt>
                <c:pt idx="9">
                  <c:v>2.65E-6</c:v>
                </c:pt>
                <c:pt idx="10">
                  <c:v>2.74E-6</c:v>
                </c:pt>
                <c:pt idx="11">
                  <c:v>2.785E-6</c:v>
                </c:pt>
                <c:pt idx="12">
                  <c:v>2.2650000000000003E-6</c:v>
                </c:pt>
                <c:pt idx="13">
                  <c:v>2.2900000000000001E-6</c:v>
                </c:pt>
                <c:pt idx="14">
                  <c:v>2.7350000000000001E-6</c:v>
                </c:pt>
                <c:pt idx="15">
                  <c:v>2.2800000000000002E-6</c:v>
                </c:pt>
                <c:pt idx="16">
                  <c:v>2.5749999999999999E-6</c:v>
                </c:pt>
                <c:pt idx="17">
                  <c:v>2.6300000000000002E-6</c:v>
                </c:pt>
                <c:pt idx="18">
                  <c:v>5.3749999999999994E-6</c:v>
                </c:pt>
                <c:pt idx="19">
                  <c:v>6.6050000000000003E-6</c:v>
                </c:pt>
                <c:pt idx="20">
                  <c:v>6.7885714285714277E-6</c:v>
                </c:pt>
                <c:pt idx="21">
                  <c:v>6.9724999999999997E-6</c:v>
                </c:pt>
                <c:pt idx="22">
                  <c:v>6.3257142857142854E-6</c:v>
                </c:pt>
                <c:pt idx="23">
                  <c:v>1.885E-6</c:v>
                </c:pt>
                <c:pt idx="24">
                  <c:v>2.2199999999999999E-6</c:v>
                </c:pt>
                <c:pt idx="25">
                  <c:v>1.99E-6</c:v>
                </c:pt>
                <c:pt idx="26">
                  <c:v>2.2249999999999999E-6</c:v>
                </c:pt>
                <c:pt idx="27">
                  <c:v>1.73E-6</c:v>
                </c:pt>
                <c:pt idx="28">
                  <c:v>3.0599999999999999E-6</c:v>
                </c:pt>
              </c:numCache>
            </c:numRef>
          </c:yVal>
        </c:ser>
        <c:ser>
          <c:idx val="2"/>
          <c:order val="1"/>
          <c:tx>
            <c:v>avg diameter</c:v>
          </c:tx>
          <c:spPr>
            <a:ln w="28575">
              <a:noFill/>
            </a:ln>
          </c:spPr>
          <c:xVal>
            <c:numRef>
              <c:f>'Beads LP3'!$Y$3:$Y$31</c:f>
              <c:numCache>
                <c:formatCode>General</c:formatCode>
                <c:ptCount val="29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56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  <c:pt idx="11">
                  <c:v>12</c:v>
                </c:pt>
                <c:pt idx="12">
                  <c:v>16</c:v>
                </c:pt>
                <c:pt idx="13">
                  <c:v>5.0999999999999996</c:v>
                </c:pt>
                <c:pt idx="14">
                  <c:v>5.95</c:v>
                </c:pt>
                <c:pt idx="15">
                  <c:v>8.5</c:v>
                </c:pt>
                <c:pt idx="16">
                  <c:v>17</c:v>
                </c:pt>
                <c:pt idx="17">
                  <c:v>25.5</c:v>
                </c:pt>
                <c:pt idx="18">
                  <c:v>34</c:v>
                </c:pt>
                <c:pt idx="19">
                  <c:v>42.5</c:v>
                </c:pt>
                <c:pt idx="20">
                  <c:v>51</c:v>
                </c:pt>
                <c:pt idx="21">
                  <c:v>59.5</c:v>
                </c:pt>
                <c:pt idx="22">
                  <c:v>68</c:v>
                </c:pt>
                <c:pt idx="23">
                  <c:v>5.5</c:v>
                </c:pt>
                <c:pt idx="24">
                  <c:v>6</c:v>
                </c:pt>
                <c:pt idx="25">
                  <c:v>6.5</c:v>
                </c:pt>
                <c:pt idx="26">
                  <c:v>7</c:v>
                </c:pt>
                <c:pt idx="27">
                  <c:v>7.5</c:v>
                </c:pt>
                <c:pt idx="28">
                  <c:v>25</c:v>
                </c:pt>
              </c:numCache>
            </c:numRef>
          </c:xVal>
          <c:yVal>
            <c:numRef>
              <c:f>'Beads LP3'!$G$3:$G$31</c:f>
              <c:numCache>
                <c:formatCode>0.00E+00</c:formatCode>
                <c:ptCount val="29"/>
                <c:pt idx="0">
                  <c:v>8.0555555555555503E-7</c:v>
                </c:pt>
                <c:pt idx="1">
                  <c:v>1.2750000000000001E-6</c:v>
                </c:pt>
                <c:pt idx="2">
                  <c:v>1.889E-6</c:v>
                </c:pt>
                <c:pt idx="3">
                  <c:v>2.22615384615385E-6</c:v>
                </c:pt>
                <c:pt idx="4">
                  <c:v>1.9490909090909087E-6</c:v>
                </c:pt>
                <c:pt idx="5">
                  <c:v>2.2091666666666665E-6</c:v>
                </c:pt>
                <c:pt idx="6">
                  <c:v>2.293333333333334E-6</c:v>
                </c:pt>
                <c:pt idx="7">
                  <c:v>1.0783333333333333E-6</c:v>
                </c:pt>
                <c:pt idx="8">
                  <c:v>1.2555555555555555E-6</c:v>
                </c:pt>
                <c:pt idx="9">
                  <c:v>1.5300000000000002E-6</c:v>
                </c:pt>
                <c:pt idx="10">
                  <c:v>1.577142857142857E-6</c:v>
                </c:pt>
                <c:pt idx="11">
                  <c:v>1.6670000000000001E-6</c:v>
                </c:pt>
                <c:pt idx="12">
                  <c:v>1.5522222222222223E-6</c:v>
                </c:pt>
                <c:pt idx="13">
                  <c:v>1.1066666666666667E-6</c:v>
                </c:pt>
                <c:pt idx="14">
                  <c:v>9.7833333333333342E-7</c:v>
                </c:pt>
                <c:pt idx="15">
                  <c:v>1.3314285714285714E-6</c:v>
                </c:pt>
                <c:pt idx="16">
                  <c:v>1.2133333333333331E-6</c:v>
                </c:pt>
                <c:pt idx="17">
                  <c:v>2.2450000000000001E-6</c:v>
                </c:pt>
                <c:pt idx="18">
                  <c:v>4.2166666666666655E-6</c:v>
                </c:pt>
                <c:pt idx="19">
                  <c:v>3.2183333333333336E-6</c:v>
                </c:pt>
                <c:pt idx="20">
                  <c:v>2.9424999999999998E-6</c:v>
                </c:pt>
                <c:pt idx="21">
                  <c:v>4.7316666666666665E-6</c:v>
                </c:pt>
                <c:pt idx="23">
                  <c:v>1.3666666666666664E-6</c:v>
                </c:pt>
                <c:pt idx="24">
                  <c:v>1.3490000000000001E-6</c:v>
                </c:pt>
                <c:pt idx="25">
                  <c:v>1.3E-6</c:v>
                </c:pt>
                <c:pt idx="26">
                  <c:v>1.4459999999999998E-6</c:v>
                </c:pt>
                <c:pt idx="27">
                  <c:v>1.5533333333333332E-6</c:v>
                </c:pt>
                <c:pt idx="28">
                  <c:v>2.1744444444444451E-6</c:v>
                </c:pt>
              </c:numCache>
            </c:numRef>
          </c:yVal>
        </c:ser>
        <c:axId val="110072192"/>
        <c:axId val="110074496"/>
      </c:scatterChart>
      <c:valAx>
        <c:axId val="1100721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NxF [J/cm²]</a:t>
                </a:r>
              </a:p>
            </c:rich>
          </c:tx>
          <c:layout/>
        </c:title>
        <c:numFmt formatCode="General" sourceLinked="1"/>
        <c:tickLblPos val="nextTo"/>
        <c:crossAx val="110074496"/>
        <c:crosses val="autoZero"/>
        <c:crossBetween val="midCat"/>
      </c:valAx>
      <c:valAx>
        <c:axId val="110074496"/>
        <c:scaling>
          <c:orientation val="minMax"/>
        </c:scaling>
        <c:axPos val="l"/>
        <c:majorGridlines/>
        <c:numFmt formatCode="0.00E+00" sourceLinked="1"/>
        <c:tickLblPos val="nextTo"/>
        <c:crossAx val="110072192"/>
        <c:crosses val="autoZero"/>
        <c:crossBetween val="midCat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8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0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228" cy="606701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4299" cy="6086707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85417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85417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4299" cy="6086707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\\MEB-JEOL\Pockels%203\F850\Tilt%200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file:///\\MEB-JEOL\Pockels%203\F850\Tilt%200" TargetMode="External"/><Relationship Id="rId1" Type="http://schemas.openxmlformats.org/officeDocument/2006/relationships/hyperlink" Target="file:///\\MEB-JEOL\Pockels%203\F850\Tilt%200" TargetMode="External"/><Relationship Id="rId6" Type="http://schemas.openxmlformats.org/officeDocument/2006/relationships/hyperlink" Target="file:///\\MEB-JEOL\Pockels%203\F850\Tilt%200" TargetMode="External"/><Relationship Id="rId5" Type="http://schemas.openxmlformats.org/officeDocument/2006/relationships/hyperlink" Target="file:///\\MEB-JEOL\Pockels%203\F850\Tilt%200" TargetMode="External"/><Relationship Id="rId4" Type="http://schemas.openxmlformats.org/officeDocument/2006/relationships/hyperlink" Target="file:///\\MEB-JEOL\Pockels%203\F850\Tilt%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3"/>
  <sheetViews>
    <sheetView tabSelected="1" topLeftCell="D1" zoomScale="115" zoomScaleNormal="115" workbookViewId="0">
      <selection activeCell="Z13" sqref="Z13"/>
    </sheetView>
  </sheetViews>
  <sheetFormatPr baseColWidth="10" defaultRowHeight="15"/>
  <cols>
    <col min="1" max="1" width="12.42578125" style="6" bestFit="1" customWidth="1"/>
    <col min="2" max="2" width="9.5703125" style="7" bestFit="1" customWidth="1"/>
    <col min="3" max="3" width="9.28515625" style="8" bestFit="1" customWidth="1"/>
    <col min="4" max="4" width="4" style="7" bestFit="1" customWidth="1"/>
    <col min="5" max="5" width="3" style="8" bestFit="1" customWidth="1"/>
    <col min="6" max="6" width="3.85546875" style="7" bestFit="1" customWidth="1"/>
    <col min="7" max="7" width="18.28515625" bestFit="1" customWidth="1"/>
    <col min="8" max="8" width="12" style="6" bestFit="1" customWidth="1"/>
    <col min="9" max="11" width="12" style="6" customWidth="1"/>
    <col min="12" max="12" width="18.28515625" style="8" bestFit="1" customWidth="1"/>
    <col min="13" max="13" width="6" style="6" bestFit="1" customWidth="1"/>
    <col min="14" max="14" width="12.5703125" style="8" bestFit="1" customWidth="1"/>
    <col min="15" max="15" width="12.85546875" style="6" bestFit="1" customWidth="1"/>
    <col min="16" max="16" width="11.7109375" style="6" bestFit="1" customWidth="1"/>
    <col min="17" max="17" width="13.85546875" style="6" bestFit="1" customWidth="1"/>
    <col min="18" max="18" width="13.85546875" style="6" customWidth="1"/>
    <col min="19" max="19" width="13.85546875" style="7" customWidth="1"/>
    <col min="20" max="20" width="13.85546875" style="6" customWidth="1"/>
    <col min="21" max="21" width="22.7109375" bestFit="1" customWidth="1"/>
    <col min="22" max="22" width="9.28515625" style="7" bestFit="1" customWidth="1"/>
    <col min="23" max="23" width="30.7109375" bestFit="1" customWidth="1"/>
    <col min="25" max="25" width="5" style="8" bestFit="1" customWidth="1"/>
  </cols>
  <sheetData>
    <row r="1" spans="1:26">
      <c r="G1" s="65" t="s">
        <v>29</v>
      </c>
      <c r="H1" s="65"/>
      <c r="I1" s="48"/>
      <c r="J1" s="48"/>
      <c r="K1" s="48"/>
      <c r="L1" s="66" t="s">
        <v>30</v>
      </c>
      <c r="M1" s="67"/>
      <c r="N1" s="66" t="s">
        <v>13</v>
      </c>
      <c r="O1" s="67"/>
      <c r="P1" s="67"/>
      <c r="Q1" s="67"/>
      <c r="R1" s="67"/>
      <c r="S1" s="68"/>
      <c r="T1" s="46"/>
    </row>
    <row r="2" spans="1:26" s="11" customFormat="1" ht="15.75">
      <c r="A2" s="9" t="s">
        <v>6</v>
      </c>
      <c r="B2" s="10" t="s">
        <v>7</v>
      </c>
      <c r="C2" s="9" t="s">
        <v>12</v>
      </c>
      <c r="D2" s="10" t="s">
        <v>0</v>
      </c>
      <c r="E2" s="9" t="s">
        <v>1</v>
      </c>
      <c r="F2" s="10" t="s">
        <v>2</v>
      </c>
      <c r="G2" s="11" t="s">
        <v>3</v>
      </c>
      <c r="H2" s="11" t="s">
        <v>4</v>
      </c>
      <c r="I2" s="11" t="s">
        <v>67</v>
      </c>
      <c r="J2" s="11" t="s">
        <v>68</v>
      </c>
      <c r="K2" s="11" t="s">
        <v>60</v>
      </c>
      <c r="L2" s="9" t="s">
        <v>3</v>
      </c>
      <c r="M2" s="11" t="s">
        <v>4</v>
      </c>
      <c r="N2" s="9" t="s">
        <v>64</v>
      </c>
      <c r="O2" s="11" t="s">
        <v>63</v>
      </c>
      <c r="P2" s="11" t="s">
        <v>62</v>
      </c>
      <c r="Q2" s="11" t="s">
        <v>61</v>
      </c>
      <c r="R2" s="11" t="s">
        <v>70</v>
      </c>
      <c r="S2" s="10" t="s">
        <v>69</v>
      </c>
      <c r="U2" s="11" t="s">
        <v>18</v>
      </c>
      <c r="V2" s="10" t="s">
        <v>5</v>
      </c>
      <c r="W2" s="11" t="s">
        <v>10</v>
      </c>
      <c r="Y2" s="9" t="s">
        <v>21</v>
      </c>
      <c r="Z2" s="11" t="s">
        <v>79</v>
      </c>
    </row>
    <row r="3" spans="1:26" s="2" customFormat="1" ht="15.75">
      <c r="A3" s="4">
        <v>7.9999999999999996E-7</v>
      </c>
      <c r="B3" s="5">
        <v>1E-13</v>
      </c>
      <c r="C3" s="8">
        <v>0.7</v>
      </c>
      <c r="D3" s="7">
        <v>0.1</v>
      </c>
      <c r="E3" s="8">
        <v>10</v>
      </c>
      <c r="F3" s="7">
        <v>0</v>
      </c>
      <c r="G3" s="1">
        <v>8.0555555555555503E-7</v>
      </c>
      <c r="H3" s="4">
        <v>2.0013190094979399E-7</v>
      </c>
      <c r="I3" s="4">
        <f>H3/2</f>
        <v>1.00065950474897E-7</v>
      </c>
      <c r="J3" s="4">
        <f>H3/2</f>
        <v>1.00065950474897E-7</v>
      </c>
      <c r="K3" s="55">
        <f>H3/G3</f>
        <v>0.24843960117905478</v>
      </c>
      <c r="L3" s="37"/>
      <c r="M3" s="4"/>
      <c r="N3" s="40">
        <v>1.2699999999999999E-6</v>
      </c>
      <c r="O3" s="12">
        <v>2.3E-6</v>
      </c>
      <c r="P3" s="4">
        <f>0.5*(O3+N3)</f>
        <v>1.7849999999999999E-6</v>
      </c>
      <c r="Q3" s="4">
        <f>(O3-N3)/2</f>
        <v>5.1500000000000005E-7</v>
      </c>
      <c r="R3" s="4">
        <f>Q3/2</f>
        <v>2.5750000000000002E-7</v>
      </c>
      <c r="S3" s="58">
        <f>Q3/P3</f>
        <v>0.28851540616246502</v>
      </c>
      <c r="T3" s="4"/>
      <c r="U3" s="15">
        <f>0.0104*100000</f>
        <v>1040</v>
      </c>
      <c r="V3" s="3"/>
      <c r="W3" t="s">
        <v>11</v>
      </c>
      <c r="Y3" s="23">
        <f>C3*E3</f>
        <v>7</v>
      </c>
      <c r="Z3" s="72">
        <f>G3/P3</f>
        <v>0.45129162776221576</v>
      </c>
    </row>
    <row r="4" spans="1:26" ht="15.75">
      <c r="A4" s="4">
        <v>7.9999999999999996E-7</v>
      </c>
      <c r="B4" s="5">
        <v>1E-13</v>
      </c>
      <c r="C4" s="8">
        <v>0.7</v>
      </c>
      <c r="D4" s="7">
        <v>0.1</v>
      </c>
      <c r="E4" s="8">
        <v>20</v>
      </c>
      <c r="F4" s="7">
        <v>0</v>
      </c>
      <c r="G4" s="1">
        <v>1.2750000000000001E-6</v>
      </c>
      <c r="H4" s="4">
        <v>9.6510547166027796E-8</v>
      </c>
      <c r="I4" s="4">
        <f t="shared" ref="I4:I31" si="0">H4/2</f>
        <v>4.8255273583013898E-8</v>
      </c>
      <c r="J4" s="4">
        <f t="shared" ref="J4:J31" si="1">H4/2</f>
        <v>4.8255273583013898E-8</v>
      </c>
      <c r="K4" s="55">
        <f>H4/G4</f>
        <v>7.5694546796884546E-2</v>
      </c>
      <c r="L4" s="37"/>
      <c r="M4" s="4"/>
      <c r="N4" s="40">
        <v>1.5099999999999999E-6</v>
      </c>
      <c r="O4" s="12">
        <v>1.8500000000000001E-6</v>
      </c>
      <c r="P4" s="4">
        <f>0.5*(O4+N4)</f>
        <v>1.68E-6</v>
      </c>
      <c r="Q4" s="4">
        <f>(O4-N4)/2</f>
        <v>1.7000000000000007E-7</v>
      </c>
      <c r="R4" s="4">
        <f t="shared" ref="R4:R31" si="2">Q4/2</f>
        <v>8.5000000000000033E-8</v>
      </c>
      <c r="S4" s="58">
        <f t="shared" ref="S4:S31" si="3">Q4/P4</f>
        <v>0.10119047619047623</v>
      </c>
      <c r="T4" s="4"/>
      <c r="U4" s="15">
        <f t="shared" ref="U4:U9" si="4">0.0104*100000</f>
        <v>1040</v>
      </c>
      <c r="W4" t="s">
        <v>11</v>
      </c>
      <c r="Y4" s="23">
        <f t="shared" ref="Y4:Y25" si="5">C4*E4</f>
        <v>14</v>
      </c>
      <c r="Z4" s="72">
        <f t="shared" ref="Z4:Z33" si="6">G4/P4</f>
        <v>0.75892857142857151</v>
      </c>
    </row>
    <row r="5" spans="1:26" ht="15.75">
      <c r="A5" s="4">
        <v>7.9999999999999996E-7</v>
      </c>
      <c r="B5" s="5">
        <v>1E-13</v>
      </c>
      <c r="C5" s="8">
        <v>0.7</v>
      </c>
      <c r="D5" s="7">
        <v>0.1</v>
      </c>
      <c r="E5" s="8">
        <v>30</v>
      </c>
      <c r="F5" s="7">
        <v>0</v>
      </c>
      <c r="G5" s="1">
        <v>1.889E-6</v>
      </c>
      <c r="H5" s="4">
        <v>3.5252895862136799E-7</v>
      </c>
      <c r="I5" s="4">
        <f t="shared" si="0"/>
        <v>1.76264479310684E-7</v>
      </c>
      <c r="J5" s="4">
        <f t="shared" si="1"/>
        <v>1.76264479310684E-7</v>
      </c>
      <c r="K5" s="55">
        <f t="shared" ref="K5:K8" si="7">H5/G5</f>
        <v>0.18662200032894016</v>
      </c>
      <c r="L5" s="37"/>
      <c r="M5" s="4"/>
      <c r="N5" s="40">
        <v>1.9400000000000001E-6</v>
      </c>
      <c r="O5" s="12">
        <v>3.3900000000000002E-6</v>
      </c>
      <c r="P5" s="4">
        <f>0.5*(O5+N5)</f>
        <v>2.6649999999999999E-6</v>
      </c>
      <c r="Q5" s="4">
        <f>(O5-N5)/2</f>
        <v>7.2500000000000005E-7</v>
      </c>
      <c r="R5" s="4">
        <f t="shared" si="2"/>
        <v>3.6250000000000002E-7</v>
      </c>
      <c r="S5" s="58">
        <f t="shared" si="3"/>
        <v>0.27204502814258913</v>
      </c>
      <c r="T5" s="4"/>
      <c r="U5" s="15">
        <f t="shared" si="4"/>
        <v>1040</v>
      </c>
      <c r="W5" t="s">
        <v>11</v>
      </c>
      <c r="Y5" s="23">
        <f t="shared" si="5"/>
        <v>21</v>
      </c>
      <c r="Z5" s="72">
        <f t="shared" si="6"/>
        <v>0.7088180112570357</v>
      </c>
    </row>
    <row r="6" spans="1:26" ht="15.75">
      <c r="A6" s="4">
        <v>7.9999999999999996E-7</v>
      </c>
      <c r="B6" s="5">
        <v>1E-13</v>
      </c>
      <c r="C6" s="8">
        <v>0.7</v>
      </c>
      <c r="D6" s="7">
        <v>0.1</v>
      </c>
      <c r="E6" s="8">
        <v>40</v>
      </c>
      <c r="F6" s="7">
        <v>0</v>
      </c>
      <c r="G6" s="1">
        <v>2.22615384615385E-6</v>
      </c>
      <c r="H6" s="4">
        <v>4.5955664252876102E-7</v>
      </c>
      <c r="I6" s="4">
        <f t="shared" si="0"/>
        <v>2.2977832126438051E-7</v>
      </c>
      <c r="J6" s="4">
        <f t="shared" si="1"/>
        <v>2.2977832126438051E-7</v>
      </c>
      <c r="K6" s="55">
        <f t="shared" si="7"/>
        <v>0.20643525752846867</v>
      </c>
      <c r="L6" s="37"/>
      <c r="M6" s="4"/>
      <c r="N6" s="41">
        <v>2.2699999999999999E-6</v>
      </c>
      <c r="O6" s="12">
        <v>3.14E-6</v>
      </c>
      <c r="P6" s="4">
        <f>0.5*(O6+N6)</f>
        <v>2.7049999999999999E-6</v>
      </c>
      <c r="Q6" s="4">
        <f>(O6-N6)/2</f>
        <v>4.3500000000000007E-7</v>
      </c>
      <c r="R6" s="4">
        <f t="shared" si="2"/>
        <v>2.1750000000000004E-7</v>
      </c>
      <c r="S6" s="58">
        <f t="shared" si="3"/>
        <v>0.16081330868761556</v>
      </c>
      <c r="T6" s="4"/>
      <c r="U6" s="15">
        <f t="shared" si="4"/>
        <v>1040</v>
      </c>
      <c r="W6" t="s">
        <v>11</v>
      </c>
      <c r="Y6" s="23">
        <f t="shared" si="5"/>
        <v>28</v>
      </c>
      <c r="Z6" s="72">
        <f t="shared" si="6"/>
        <v>0.82297739229347511</v>
      </c>
    </row>
    <row r="7" spans="1:26" ht="15.75">
      <c r="A7" s="4">
        <v>7.9999999999999996E-7</v>
      </c>
      <c r="B7" s="5">
        <v>1E-13</v>
      </c>
      <c r="C7" s="8">
        <v>0.7</v>
      </c>
      <c r="D7" s="7">
        <v>0.1</v>
      </c>
      <c r="E7" s="8">
        <v>50</v>
      </c>
      <c r="F7" s="7">
        <v>0</v>
      </c>
      <c r="G7" s="1">
        <v>1.9490909090909087E-6</v>
      </c>
      <c r="H7" s="4">
        <v>2.5201010080766999E-7</v>
      </c>
      <c r="I7" s="4">
        <f t="shared" si="0"/>
        <v>1.2600505040383499E-7</v>
      </c>
      <c r="J7" s="4">
        <f t="shared" si="1"/>
        <v>1.2600505040383499E-7</v>
      </c>
      <c r="K7" s="55">
        <f t="shared" si="7"/>
        <v>0.12929622709348743</v>
      </c>
      <c r="L7" s="37"/>
      <c r="M7" s="4"/>
      <c r="N7" s="40">
        <v>2.3999999999999999E-6</v>
      </c>
      <c r="O7" s="12">
        <v>3.41E-6</v>
      </c>
      <c r="P7" s="4">
        <f>0.5*(O7+N7)</f>
        <v>2.9050000000000001E-6</v>
      </c>
      <c r="Q7" s="4">
        <f>(O7-N7)/2</f>
        <v>5.0500000000000004E-7</v>
      </c>
      <c r="R7" s="4">
        <f t="shared" si="2"/>
        <v>2.5250000000000002E-7</v>
      </c>
      <c r="S7" s="58">
        <f t="shared" si="3"/>
        <v>0.17383820998278829</v>
      </c>
      <c r="T7" s="4"/>
      <c r="U7" s="15">
        <f t="shared" si="4"/>
        <v>1040</v>
      </c>
      <c r="W7" t="s">
        <v>11</v>
      </c>
      <c r="Y7" s="23">
        <f t="shared" si="5"/>
        <v>35</v>
      </c>
      <c r="Z7" s="72">
        <f t="shared" si="6"/>
        <v>0.67094351431700816</v>
      </c>
    </row>
    <row r="8" spans="1:26" ht="15.75">
      <c r="A8" s="4">
        <v>7.9999999999999996E-7</v>
      </c>
      <c r="B8" s="5">
        <v>1E-13</v>
      </c>
      <c r="C8" s="8">
        <v>0.7</v>
      </c>
      <c r="D8" s="7">
        <v>0.1</v>
      </c>
      <c r="E8" s="8">
        <v>60</v>
      </c>
      <c r="F8" s="7">
        <v>0</v>
      </c>
      <c r="G8" s="1">
        <v>2.2091666666666665E-6</v>
      </c>
      <c r="H8" s="4">
        <v>3.5821421557836666E-7</v>
      </c>
      <c r="I8" s="4">
        <f t="shared" si="0"/>
        <v>1.7910710778918333E-7</v>
      </c>
      <c r="J8" s="4">
        <f t="shared" si="1"/>
        <v>1.7910710778918333E-7</v>
      </c>
      <c r="K8" s="55">
        <f t="shared" si="7"/>
        <v>0.16214902251755564</v>
      </c>
      <c r="L8" s="37"/>
      <c r="M8" s="4"/>
      <c r="N8" s="42"/>
      <c r="O8" s="13"/>
      <c r="P8" s="4">
        <v>3.9807692307692309E-6</v>
      </c>
      <c r="Q8" s="4">
        <v>1.5489053206402554E-6</v>
      </c>
      <c r="R8" s="4">
        <f t="shared" si="2"/>
        <v>7.744526603201277E-7</v>
      </c>
      <c r="S8" s="58">
        <f t="shared" si="3"/>
        <v>0.38909698875987092</v>
      </c>
      <c r="T8" s="4"/>
      <c r="U8" s="15">
        <f t="shared" si="4"/>
        <v>1040</v>
      </c>
      <c r="W8" t="s">
        <v>11</v>
      </c>
      <c r="Y8" s="23">
        <f t="shared" si="5"/>
        <v>42</v>
      </c>
      <c r="Z8" s="72">
        <f t="shared" si="6"/>
        <v>0.55495974235104661</v>
      </c>
    </row>
    <row r="9" spans="1:26" s="22" customFormat="1" ht="15.75">
      <c r="A9" s="16">
        <v>7.9999999999999996E-7</v>
      </c>
      <c r="B9" s="17">
        <v>1E-13</v>
      </c>
      <c r="C9" s="18">
        <v>0.7</v>
      </c>
      <c r="D9" s="19">
        <v>0.1</v>
      </c>
      <c r="E9" s="18">
        <v>80</v>
      </c>
      <c r="F9" s="19">
        <v>0</v>
      </c>
      <c r="G9" s="16">
        <v>2.293333333333334E-6</v>
      </c>
      <c r="H9" s="16">
        <v>5.203844732503061E-7</v>
      </c>
      <c r="I9" s="4">
        <f t="shared" si="0"/>
        <v>2.6019223662515305E-7</v>
      </c>
      <c r="J9" s="4">
        <f t="shared" si="1"/>
        <v>2.6019223662515305E-7</v>
      </c>
      <c r="K9" s="56">
        <f>H9/G9</f>
        <v>0.2269118342661218</v>
      </c>
      <c r="L9" s="39"/>
      <c r="M9" s="16"/>
      <c r="N9" s="43">
        <v>5.1000000000000003E-6</v>
      </c>
      <c r="O9" s="20">
        <v>5.8000000000000004E-6</v>
      </c>
      <c r="P9" s="16">
        <f t="shared" ref="P9:P22" si="8">0.5*(O9+N9)</f>
        <v>5.4500000000000003E-6</v>
      </c>
      <c r="Q9" s="16">
        <f t="shared" ref="Q9:Q22" si="9">(O9-N9)/2</f>
        <v>3.5000000000000004E-7</v>
      </c>
      <c r="R9" s="4">
        <f t="shared" si="2"/>
        <v>1.7500000000000002E-7</v>
      </c>
      <c r="S9" s="58">
        <f t="shared" si="3"/>
        <v>6.4220183486238536E-2</v>
      </c>
      <c r="T9" s="16"/>
      <c r="U9" s="21">
        <f t="shared" si="4"/>
        <v>1040</v>
      </c>
      <c r="V9" s="19"/>
      <c r="W9" s="22" t="s">
        <v>11</v>
      </c>
      <c r="Y9" s="24">
        <f t="shared" si="5"/>
        <v>56</v>
      </c>
      <c r="Z9" s="72">
        <f t="shared" si="6"/>
        <v>0.42079510703363926</v>
      </c>
    </row>
    <row r="10" spans="1:26" ht="15.75">
      <c r="A10" s="4">
        <v>7.9999999999999996E-7</v>
      </c>
      <c r="B10" s="5">
        <v>1E-13</v>
      </c>
      <c r="C10" s="8">
        <v>0.2</v>
      </c>
      <c r="D10" s="7">
        <v>0.1</v>
      </c>
      <c r="E10" s="8">
        <v>20</v>
      </c>
      <c r="F10" s="7">
        <v>0</v>
      </c>
      <c r="G10" s="1">
        <v>1.0783333333333333E-6</v>
      </c>
      <c r="H10" s="4">
        <v>2.0360910261249842E-7</v>
      </c>
      <c r="I10" s="4">
        <f t="shared" si="0"/>
        <v>1.0180455130624921E-7</v>
      </c>
      <c r="J10" s="4">
        <f t="shared" si="1"/>
        <v>1.0180455130624921E-7</v>
      </c>
      <c r="K10" s="55">
        <f>H10/G10</f>
        <v>0.18881833318006036</v>
      </c>
      <c r="L10" s="37"/>
      <c r="M10" s="4"/>
      <c r="N10" s="41">
        <v>1.5600000000000001E-6</v>
      </c>
      <c r="O10" s="12">
        <v>2.26E-6</v>
      </c>
      <c r="P10" s="4">
        <f t="shared" si="8"/>
        <v>1.9099999999999999E-6</v>
      </c>
      <c r="Q10" s="4">
        <f t="shared" si="9"/>
        <v>3.4999999999999993E-7</v>
      </c>
      <c r="R10" s="4">
        <f t="shared" si="2"/>
        <v>1.7499999999999997E-7</v>
      </c>
      <c r="S10" s="57">
        <f t="shared" si="3"/>
        <v>0.18324607329842929</v>
      </c>
      <c r="T10" s="4"/>
      <c r="W10" t="s">
        <v>19</v>
      </c>
      <c r="Y10" s="23">
        <f t="shared" si="5"/>
        <v>4</v>
      </c>
      <c r="Z10" s="72">
        <f t="shared" si="6"/>
        <v>0.56457242582897038</v>
      </c>
    </row>
    <row r="11" spans="1:26" ht="15.75">
      <c r="A11" s="4">
        <v>7.9999999999999996E-7</v>
      </c>
      <c r="B11" s="5">
        <v>1E-13</v>
      </c>
      <c r="C11" s="8">
        <v>0.2</v>
      </c>
      <c r="D11" s="7">
        <v>0.1</v>
      </c>
      <c r="E11" s="8">
        <v>30</v>
      </c>
      <c r="F11" s="7">
        <v>0</v>
      </c>
      <c r="G11" s="1">
        <v>1.2555555555555555E-6</v>
      </c>
      <c r="H11" s="4">
        <v>1.6763883135412812E-7</v>
      </c>
      <c r="I11" s="4">
        <f t="shared" si="0"/>
        <v>8.3819415677064061E-8</v>
      </c>
      <c r="J11" s="4">
        <f t="shared" si="1"/>
        <v>8.3819415677064061E-8</v>
      </c>
      <c r="K11" s="55">
        <f t="shared" ref="K11:K31" si="10">H11/G11</f>
        <v>0.13351765329089851</v>
      </c>
      <c r="L11" s="37"/>
      <c r="M11" s="4"/>
      <c r="N11" s="40">
        <v>1.9300000000000002E-6</v>
      </c>
      <c r="O11" s="12">
        <v>3.4000000000000001E-6</v>
      </c>
      <c r="P11" s="4">
        <f t="shared" si="8"/>
        <v>2.6649999999999999E-6</v>
      </c>
      <c r="Q11" s="4">
        <f t="shared" si="9"/>
        <v>7.3499999999999995E-7</v>
      </c>
      <c r="R11" s="4">
        <f t="shared" si="2"/>
        <v>3.6749999999999998E-7</v>
      </c>
      <c r="S11" s="58">
        <f t="shared" si="3"/>
        <v>0.27579737335834897</v>
      </c>
      <c r="T11" s="4"/>
      <c r="W11" t="s">
        <v>19</v>
      </c>
      <c r="Y11" s="23">
        <f t="shared" si="5"/>
        <v>6</v>
      </c>
      <c r="Z11" s="72">
        <f t="shared" si="6"/>
        <v>0.47112778820095891</v>
      </c>
    </row>
    <row r="12" spans="1:26" ht="15.75">
      <c r="A12" s="4">
        <v>7.9999999999999996E-7</v>
      </c>
      <c r="B12" s="5">
        <v>1E-13</v>
      </c>
      <c r="C12" s="8">
        <v>0.2</v>
      </c>
      <c r="D12" s="7">
        <v>0.1</v>
      </c>
      <c r="E12" s="8">
        <v>40</v>
      </c>
      <c r="F12" s="7">
        <v>0</v>
      </c>
      <c r="G12" s="1">
        <v>1.5300000000000002E-6</v>
      </c>
      <c r="H12" s="4">
        <v>1.9435791725576781E-7</v>
      </c>
      <c r="I12" s="4">
        <f t="shared" si="0"/>
        <v>9.7178958627883904E-8</v>
      </c>
      <c r="J12" s="4">
        <f t="shared" si="1"/>
        <v>9.7178958627883904E-8</v>
      </c>
      <c r="K12" s="55">
        <f t="shared" si="10"/>
        <v>0.12703131846782209</v>
      </c>
      <c r="L12" s="37"/>
      <c r="M12" s="4"/>
      <c r="N12" s="40">
        <v>2.3E-6</v>
      </c>
      <c r="O12" s="12">
        <v>3.0000000000000001E-6</v>
      </c>
      <c r="P12" s="4">
        <f t="shared" si="8"/>
        <v>2.65E-6</v>
      </c>
      <c r="Q12" s="4">
        <f t="shared" si="9"/>
        <v>3.5000000000000004E-7</v>
      </c>
      <c r="R12" s="4">
        <f t="shared" si="2"/>
        <v>1.7500000000000002E-7</v>
      </c>
      <c r="S12" s="58">
        <f t="shared" si="3"/>
        <v>0.13207547169811321</v>
      </c>
      <c r="T12" s="4"/>
      <c r="W12" t="s">
        <v>19</v>
      </c>
      <c r="Y12" s="23">
        <f t="shared" si="5"/>
        <v>8</v>
      </c>
      <c r="Z12" s="72">
        <f t="shared" si="6"/>
        <v>0.57735849056603783</v>
      </c>
    </row>
    <row r="13" spans="1:26" ht="15.75">
      <c r="A13" s="4">
        <v>7.9999999999999996E-7</v>
      </c>
      <c r="B13" s="5">
        <v>1E-13</v>
      </c>
      <c r="C13" s="8">
        <v>0.2</v>
      </c>
      <c r="D13" s="7">
        <v>0.1</v>
      </c>
      <c r="E13" s="8">
        <v>50</v>
      </c>
      <c r="F13" s="7">
        <v>0</v>
      </c>
      <c r="G13" s="1">
        <v>1.577142857142857E-6</v>
      </c>
      <c r="H13" s="4">
        <v>3.7858131164098565E-7</v>
      </c>
      <c r="I13" s="4">
        <f t="shared" si="0"/>
        <v>1.8929065582049283E-7</v>
      </c>
      <c r="J13" s="4">
        <f t="shared" si="1"/>
        <v>1.8929065582049283E-7</v>
      </c>
      <c r="K13" s="55">
        <f t="shared" si="10"/>
        <v>0.24004249832308874</v>
      </c>
      <c r="L13" s="37"/>
      <c r="M13" s="4"/>
      <c r="N13" s="40">
        <v>2.3800000000000001E-6</v>
      </c>
      <c r="O13" s="12">
        <v>3.1E-6</v>
      </c>
      <c r="P13" s="4">
        <f t="shared" si="8"/>
        <v>2.74E-6</v>
      </c>
      <c r="Q13" s="4">
        <f t="shared" si="9"/>
        <v>3.5999999999999994E-7</v>
      </c>
      <c r="R13" s="4">
        <f t="shared" si="2"/>
        <v>1.7999999999999997E-7</v>
      </c>
      <c r="S13" s="58">
        <f t="shared" si="3"/>
        <v>0.13138686131386859</v>
      </c>
      <c r="T13" s="4"/>
      <c r="W13" t="s">
        <v>19</v>
      </c>
      <c r="Y13" s="23">
        <f t="shared" si="5"/>
        <v>10</v>
      </c>
      <c r="Z13" s="72">
        <f t="shared" si="6"/>
        <v>0.57559958289885294</v>
      </c>
    </row>
    <row r="14" spans="1:26" ht="15.75">
      <c r="A14" s="4">
        <v>7.9999999999999996E-7</v>
      </c>
      <c r="B14" s="5">
        <v>1E-13</v>
      </c>
      <c r="C14" s="8">
        <v>0.2</v>
      </c>
      <c r="D14" s="7">
        <v>0.1</v>
      </c>
      <c r="E14" s="8">
        <v>60</v>
      </c>
      <c r="F14" s="7">
        <v>0</v>
      </c>
      <c r="G14" s="1">
        <v>1.6670000000000001E-6</v>
      </c>
      <c r="H14" s="4">
        <v>2.4395127017956279E-7</v>
      </c>
      <c r="I14" s="4">
        <f t="shared" si="0"/>
        <v>1.219756350897814E-7</v>
      </c>
      <c r="J14" s="4">
        <f t="shared" si="1"/>
        <v>1.219756350897814E-7</v>
      </c>
      <c r="K14" s="55">
        <f t="shared" si="10"/>
        <v>0.14634149380897588</v>
      </c>
      <c r="L14" s="37"/>
      <c r="M14" s="4"/>
      <c r="N14" s="40">
        <v>2.5100000000000001E-6</v>
      </c>
      <c r="O14" s="12">
        <v>3.0599999999999999E-6</v>
      </c>
      <c r="P14" s="4">
        <f t="shared" si="8"/>
        <v>2.785E-6</v>
      </c>
      <c r="Q14" s="4">
        <f t="shared" si="9"/>
        <v>2.7499999999999991E-7</v>
      </c>
      <c r="R14" s="4">
        <f t="shared" si="2"/>
        <v>1.3749999999999995E-7</v>
      </c>
      <c r="S14" s="58">
        <f t="shared" si="3"/>
        <v>9.8743267504488294E-2</v>
      </c>
      <c r="T14" s="4"/>
      <c r="W14" t="s">
        <v>19</v>
      </c>
      <c r="Y14" s="23">
        <f t="shared" si="5"/>
        <v>12</v>
      </c>
      <c r="Z14" s="72">
        <f t="shared" si="6"/>
        <v>0.59856373429084386</v>
      </c>
    </row>
    <row r="15" spans="1:26" s="22" customFormat="1" ht="15.75">
      <c r="A15" s="16">
        <v>7.9999999999999996E-7</v>
      </c>
      <c r="B15" s="17">
        <v>1E-13</v>
      </c>
      <c r="C15" s="18">
        <v>0.2</v>
      </c>
      <c r="D15" s="19">
        <v>0.1</v>
      </c>
      <c r="E15" s="18">
        <v>80</v>
      </c>
      <c r="F15" s="19">
        <v>0</v>
      </c>
      <c r="G15" s="16">
        <v>1.5522222222222223E-6</v>
      </c>
      <c r="H15" s="16">
        <v>2.2664828356827168E-7</v>
      </c>
      <c r="I15" s="4">
        <f t="shared" si="0"/>
        <v>1.1332414178413584E-7</v>
      </c>
      <c r="J15" s="4">
        <f t="shared" si="1"/>
        <v>1.1332414178413584E-7</v>
      </c>
      <c r="K15" s="55">
        <f t="shared" si="10"/>
        <v>0.14601535806116284</v>
      </c>
      <c r="L15" s="39"/>
      <c r="M15" s="16"/>
      <c r="N15" s="43">
        <v>2.0200000000000001E-6</v>
      </c>
      <c r="O15" s="20">
        <v>2.5100000000000001E-6</v>
      </c>
      <c r="P15" s="16">
        <f t="shared" si="8"/>
        <v>2.2650000000000003E-6</v>
      </c>
      <c r="Q15" s="16">
        <f t="shared" si="9"/>
        <v>2.4499999999999998E-7</v>
      </c>
      <c r="R15" s="4">
        <f t="shared" si="2"/>
        <v>1.2249999999999999E-7</v>
      </c>
      <c r="S15" s="58">
        <f t="shared" si="3"/>
        <v>0.10816777041942603</v>
      </c>
      <c r="T15" s="16"/>
      <c r="V15" s="19"/>
      <c r="W15" s="22" t="s">
        <v>19</v>
      </c>
      <c r="Y15" s="24">
        <f t="shared" si="5"/>
        <v>16</v>
      </c>
      <c r="Z15" s="72">
        <f t="shared" si="6"/>
        <v>0.68530782438067206</v>
      </c>
    </row>
    <row r="16" spans="1:26" ht="15.75">
      <c r="A16" s="4">
        <v>7.9999999999999996E-7</v>
      </c>
      <c r="B16" s="5">
        <v>1E-13</v>
      </c>
      <c r="C16" s="8">
        <v>0.85</v>
      </c>
      <c r="D16" s="7">
        <v>0.2</v>
      </c>
      <c r="E16" s="8">
        <v>6</v>
      </c>
      <c r="F16" s="7">
        <v>0</v>
      </c>
      <c r="G16" s="1">
        <v>1.1066666666666667E-6</v>
      </c>
      <c r="H16" s="4">
        <v>1.6860209567697172E-7</v>
      </c>
      <c r="I16" s="4">
        <f t="shared" si="0"/>
        <v>8.4301047838485862E-8</v>
      </c>
      <c r="J16" s="4">
        <f t="shared" si="1"/>
        <v>8.4301047838485862E-8</v>
      </c>
      <c r="K16" s="57">
        <f t="shared" si="10"/>
        <v>0.15235129127437202</v>
      </c>
      <c r="L16" s="37"/>
      <c r="M16" s="4"/>
      <c r="N16" s="40">
        <v>2.1900000000000002E-6</v>
      </c>
      <c r="O16" s="12">
        <v>2.39E-6</v>
      </c>
      <c r="P16" s="4">
        <f t="shared" si="8"/>
        <v>2.2900000000000001E-6</v>
      </c>
      <c r="Q16" s="4">
        <f t="shared" si="9"/>
        <v>9.999999999999989E-8</v>
      </c>
      <c r="R16" s="4">
        <f t="shared" si="2"/>
        <v>4.9999999999999945E-8</v>
      </c>
      <c r="S16" s="57">
        <f t="shared" si="3"/>
        <v>4.3668122270742307E-2</v>
      </c>
      <c r="T16" s="4"/>
      <c r="W16" t="s">
        <v>20</v>
      </c>
      <c r="Y16" s="23">
        <f t="shared" si="5"/>
        <v>5.0999999999999996</v>
      </c>
      <c r="Z16" s="72">
        <f t="shared" si="6"/>
        <v>0.48326055312954874</v>
      </c>
    </row>
    <row r="17" spans="1:26" ht="15.75">
      <c r="A17" s="4">
        <v>7.9999999999999996E-7</v>
      </c>
      <c r="B17" s="5">
        <v>1E-13</v>
      </c>
      <c r="C17" s="8">
        <v>0.85</v>
      </c>
      <c r="D17" s="7">
        <v>0.2</v>
      </c>
      <c r="E17" s="8">
        <v>7</v>
      </c>
      <c r="F17" s="7">
        <v>0</v>
      </c>
      <c r="G17" s="1">
        <v>9.7833333333333342E-7</v>
      </c>
      <c r="H17" s="4">
        <v>1.374651470979701E-7</v>
      </c>
      <c r="I17" s="4">
        <f t="shared" si="0"/>
        <v>6.8732573548985052E-8</v>
      </c>
      <c r="J17" s="4">
        <f t="shared" si="1"/>
        <v>6.8732573548985052E-8</v>
      </c>
      <c r="K17" s="55">
        <f t="shared" si="10"/>
        <v>0.14050952003199668</v>
      </c>
      <c r="L17" s="37"/>
      <c r="M17" s="4"/>
      <c r="N17" s="40">
        <v>2.5500000000000001E-6</v>
      </c>
      <c r="O17" s="12">
        <v>2.92E-6</v>
      </c>
      <c r="P17" s="4">
        <f t="shared" si="8"/>
        <v>2.7350000000000001E-6</v>
      </c>
      <c r="Q17" s="4">
        <f t="shared" si="9"/>
        <v>1.8499999999999992E-7</v>
      </c>
      <c r="R17" s="4">
        <f t="shared" si="2"/>
        <v>9.2499999999999961E-8</v>
      </c>
      <c r="S17" s="58">
        <f t="shared" si="3"/>
        <v>6.7641681901279671E-2</v>
      </c>
      <c r="T17" s="4"/>
      <c r="W17" t="s">
        <v>20</v>
      </c>
      <c r="Y17" s="23">
        <f t="shared" si="5"/>
        <v>5.95</v>
      </c>
      <c r="Z17" s="72">
        <f t="shared" si="6"/>
        <v>0.35770871419865941</v>
      </c>
    </row>
    <row r="18" spans="1:26" ht="15.75">
      <c r="A18" s="4">
        <v>7.9999999999999996E-7</v>
      </c>
      <c r="B18" s="5">
        <v>1E-13</v>
      </c>
      <c r="C18" s="8">
        <v>0.85</v>
      </c>
      <c r="D18" s="7">
        <v>0.2</v>
      </c>
      <c r="E18" s="8">
        <v>10</v>
      </c>
      <c r="F18" s="7">
        <v>0</v>
      </c>
      <c r="G18" s="1">
        <v>1.3314285714285714E-6</v>
      </c>
      <c r="H18" s="4">
        <v>5.5435934709742706E-7</v>
      </c>
      <c r="I18" s="4">
        <f t="shared" si="0"/>
        <v>2.7717967354871353E-7</v>
      </c>
      <c r="J18" s="4">
        <f t="shared" si="1"/>
        <v>2.7717967354871353E-7</v>
      </c>
      <c r="K18" s="55">
        <f t="shared" si="10"/>
        <v>0.41636431648948385</v>
      </c>
      <c r="L18" s="37"/>
      <c r="M18" s="4"/>
      <c r="N18" s="40">
        <v>2.03E-6</v>
      </c>
      <c r="O18" s="12">
        <v>2.5299999999999999E-6</v>
      </c>
      <c r="P18" s="4">
        <f t="shared" si="8"/>
        <v>2.2800000000000002E-6</v>
      </c>
      <c r="Q18" s="4">
        <f t="shared" si="9"/>
        <v>2.4999999999999994E-7</v>
      </c>
      <c r="R18" s="4">
        <f t="shared" si="2"/>
        <v>1.2499999999999997E-7</v>
      </c>
      <c r="S18" s="58">
        <f t="shared" si="3"/>
        <v>0.10964912280701751</v>
      </c>
      <c r="T18" s="4"/>
      <c r="W18" t="s">
        <v>20</v>
      </c>
      <c r="Y18" s="23">
        <f t="shared" si="5"/>
        <v>8.5</v>
      </c>
      <c r="Z18" s="72">
        <f t="shared" si="6"/>
        <v>0.58395989974937335</v>
      </c>
    </row>
    <row r="19" spans="1:26" ht="15.75">
      <c r="A19" s="4">
        <v>7.9999999999999996E-7</v>
      </c>
      <c r="B19" s="5">
        <v>1E-13</v>
      </c>
      <c r="C19" s="8">
        <v>0.85</v>
      </c>
      <c r="D19" s="7">
        <v>0.2</v>
      </c>
      <c r="E19" s="8">
        <v>20</v>
      </c>
      <c r="F19" s="7">
        <v>0</v>
      </c>
      <c r="G19" s="1">
        <v>1.2133333333333331E-6</v>
      </c>
      <c r="H19" s="4">
        <v>3.186011090166928E-7</v>
      </c>
      <c r="I19" s="4">
        <f t="shared" si="0"/>
        <v>1.593005545083464E-7</v>
      </c>
      <c r="J19" s="4">
        <f t="shared" si="1"/>
        <v>1.593005545083464E-7</v>
      </c>
      <c r="K19" s="55">
        <f t="shared" si="10"/>
        <v>0.26258333160716446</v>
      </c>
      <c r="L19" s="37"/>
      <c r="M19" s="4"/>
      <c r="N19" s="40">
        <v>2.26E-6</v>
      </c>
      <c r="O19" s="12">
        <v>2.8899999999999999E-6</v>
      </c>
      <c r="P19" s="4">
        <f t="shared" si="8"/>
        <v>2.5749999999999999E-6</v>
      </c>
      <c r="Q19" s="4">
        <f t="shared" si="9"/>
        <v>3.1499999999999995E-7</v>
      </c>
      <c r="R19" s="4">
        <f t="shared" si="2"/>
        <v>1.5749999999999997E-7</v>
      </c>
      <c r="S19" s="58">
        <f t="shared" si="3"/>
        <v>0.12233009708737863</v>
      </c>
      <c r="T19" s="4"/>
      <c r="W19" t="s">
        <v>20</v>
      </c>
      <c r="Y19" s="23">
        <f t="shared" si="5"/>
        <v>17</v>
      </c>
      <c r="Z19" s="72">
        <f t="shared" si="6"/>
        <v>0.47119741100323614</v>
      </c>
    </row>
    <row r="20" spans="1:26" ht="15.75">
      <c r="A20" s="4">
        <v>7.9999999999999996E-7</v>
      </c>
      <c r="B20" s="5">
        <v>1E-13</v>
      </c>
      <c r="C20" s="8">
        <v>0.85</v>
      </c>
      <c r="D20" s="7">
        <v>0.2</v>
      </c>
      <c r="E20" s="8">
        <v>30</v>
      </c>
      <c r="F20" s="7">
        <v>0</v>
      </c>
      <c r="G20" s="1">
        <v>2.2450000000000001E-6</v>
      </c>
      <c r="H20" s="4">
        <v>7.9779069936920117E-7</v>
      </c>
      <c r="I20" s="4">
        <f t="shared" si="0"/>
        <v>3.9889534968460058E-7</v>
      </c>
      <c r="J20" s="4">
        <f t="shared" si="1"/>
        <v>3.9889534968460058E-7</v>
      </c>
      <c r="K20" s="55">
        <f t="shared" si="10"/>
        <v>0.35536334047625884</v>
      </c>
      <c r="L20" s="37"/>
      <c r="M20" s="4"/>
      <c r="N20" s="40">
        <v>2.1399999999999998E-6</v>
      </c>
      <c r="O20" s="12">
        <v>3.1200000000000002E-6</v>
      </c>
      <c r="P20" s="4">
        <f t="shared" si="8"/>
        <v>2.6300000000000002E-6</v>
      </c>
      <c r="Q20" s="4">
        <f t="shared" si="9"/>
        <v>4.9000000000000018E-7</v>
      </c>
      <c r="R20" s="4">
        <f t="shared" si="2"/>
        <v>2.4500000000000009E-7</v>
      </c>
      <c r="S20" s="58">
        <f t="shared" si="3"/>
        <v>0.18631178707224338</v>
      </c>
      <c r="T20" s="4"/>
      <c r="W20" t="s">
        <v>20</v>
      </c>
      <c r="Y20" s="23">
        <f t="shared" si="5"/>
        <v>25.5</v>
      </c>
      <c r="Z20" s="72">
        <f t="shared" si="6"/>
        <v>0.85361216730038014</v>
      </c>
    </row>
    <row r="21" spans="1:26" ht="15.75">
      <c r="A21" s="4">
        <v>7.9999999999999996E-7</v>
      </c>
      <c r="B21" s="5">
        <v>1E-13</v>
      </c>
      <c r="C21" s="8">
        <v>0.85</v>
      </c>
      <c r="D21" s="7">
        <v>0.2</v>
      </c>
      <c r="E21" s="8">
        <v>40</v>
      </c>
      <c r="F21" s="7">
        <v>0</v>
      </c>
      <c r="G21" s="1">
        <v>4.2166666666666655E-6</v>
      </c>
      <c r="H21" s="4">
        <v>1.2552556180581992E-6</v>
      </c>
      <c r="I21" s="4">
        <f t="shared" si="0"/>
        <v>6.2762780902909961E-7</v>
      </c>
      <c r="J21" s="4">
        <f t="shared" si="1"/>
        <v>6.2762780902909961E-7</v>
      </c>
      <c r="K21" s="55">
        <f t="shared" si="10"/>
        <v>0.29768907938139122</v>
      </c>
      <c r="L21" s="37"/>
      <c r="M21" s="4"/>
      <c r="N21" s="40">
        <v>2.7199999999999998E-6</v>
      </c>
      <c r="O21" s="12">
        <v>8.0299999999999994E-6</v>
      </c>
      <c r="P21" s="4">
        <f t="shared" si="8"/>
        <v>5.3749999999999994E-6</v>
      </c>
      <c r="Q21" s="4">
        <f t="shared" si="9"/>
        <v>2.655E-6</v>
      </c>
      <c r="R21" s="4">
        <f t="shared" si="2"/>
        <v>1.3275E-6</v>
      </c>
      <c r="S21" s="58">
        <f t="shared" si="3"/>
        <v>0.49395348837209307</v>
      </c>
      <c r="T21" s="4"/>
      <c r="W21" t="s">
        <v>20</v>
      </c>
      <c r="Y21" s="23">
        <f t="shared" si="5"/>
        <v>34</v>
      </c>
      <c r="Z21" s="72">
        <f t="shared" si="6"/>
        <v>0.78449612403100766</v>
      </c>
    </row>
    <row r="22" spans="1:26" ht="15.75">
      <c r="A22" s="4">
        <v>7.9999999999999996E-7</v>
      </c>
      <c r="B22" s="5">
        <v>1E-13</v>
      </c>
      <c r="C22" s="8">
        <v>0.85</v>
      </c>
      <c r="D22" s="7">
        <v>0.2</v>
      </c>
      <c r="E22" s="8">
        <v>50</v>
      </c>
      <c r="F22" s="7">
        <v>0</v>
      </c>
      <c r="G22" s="1">
        <v>3.2183333333333336E-6</v>
      </c>
      <c r="H22" s="4">
        <v>9.1918260790044667E-7</v>
      </c>
      <c r="I22" s="4">
        <f t="shared" si="0"/>
        <v>4.5959130395022333E-7</v>
      </c>
      <c r="J22" s="4">
        <f t="shared" si="1"/>
        <v>4.5959130395022333E-7</v>
      </c>
      <c r="K22" s="55">
        <f t="shared" si="10"/>
        <v>0.28560826760241736</v>
      </c>
      <c r="L22" s="37"/>
      <c r="M22" s="4"/>
      <c r="N22" s="40">
        <v>5.0799999999999996E-6</v>
      </c>
      <c r="O22" s="12">
        <v>8.1300000000000001E-6</v>
      </c>
      <c r="P22" s="4">
        <f t="shared" si="8"/>
        <v>6.6050000000000003E-6</v>
      </c>
      <c r="Q22" s="4">
        <f t="shared" si="9"/>
        <v>1.5250000000000002E-6</v>
      </c>
      <c r="R22" s="4">
        <f t="shared" si="2"/>
        <v>7.6250000000000011E-7</v>
      </c>
      <c r="S22" s="58">
        <f t="shared" si="3"/>
        <v>0.23088569265707801</v>
      </c>
      <c r="T22" s="4"/>
      <c r="W22" t="s">
        <v>20</v>
      </c>
      <c r="Y22" s="23">
        <f t="shared" si="5"/>
        <v>42.5</v>
      </c>
      <c r="Z22" s="72">
        <f t="shared" si="6"/>
        <v>0.48725712843805202</v>
      </c>
    </row>
    <row r="23" spans="1:26" ht="15.75">
      <c r="A23" s="4">
        <v>7.9999999999999996E-7</v>
      </c>
      <c r="B23" s="5">
        <v>1E-13</v>
      </c>
      <c r="C23" s="8">
        <v>0.85</v>
      </c>
      <c r="D23" s="7">
        <v>0.2</v>
      </c>
      <c r="E23" s="8">
        <v>60</v>
      </c>
      <c r="F23" s="7">
        <v>0</v>
      </c>
      <c r="G23" s="1">
        <v>2.9424999999999998E-6</v>
      </c>
      <c r="H23" s="4">
        <v>9.2600845928461576E-7</v>
      </c>
      <c r="I23" s="4">
        <f t="shared" si="0"/>
        <v>4.6300422964230788E-7</v>
      </c>
      <c r="J23" s="4">
        <f t="shared" si="1"/>
        <v>4.6300422964230788E-7</v>
      </c>
      <c r="K23" s="55">
        <f t="shared" si="10"/>
        <v>0.31470126058950409</v>
      </c>
      <c r="L23" s="37"/>
      <c r="M23" s="4"/>
      <c r="N23" s="40">
        <v>5.0799999999999996E-6</v>
      </c>
      <c r="O23" s="14">
        <v>1.0159999999999999E-5</v>
      </c>
      <c r="P23" s="4">
        <v>6.7885714285714277E-6</v>
      </c>
      <c r="Q23" s="4">
        <v>4.5805489377834129E-7</v>
      </c>
      <c r="R23" s="4">
        <f t="shared" si="2"/>
        <v>2.2902744688917065E-7</v>
      </c>
      <c r="S23" s="58">
        <f t="shared" si="3"/>
        <v>6.747441617105196E-2</v>
      </c>
      <c r="T23" s="4"/>
      <c r="W23" t="s">
        <v>20</v>
      </c>
      <c r="Y23" s="23">
        <f t="shared" si="5"/>
        <v>51</v>
      </c>
      <c r="Z23" s="72">
        <f t="shared" si="6"/>
        <v>0.43344907407407407</v>
      </c>
    </row>
    <row r="24" spans="1:26" ht="15.75">
      <c r="A24" s="4">
        <v>7.9999999999999996E-7</v>
      </c>
      <c r="B24" s="5">
        <v>1E-13</v>
      </c>
      <c r="C24" s="8">
        <v>0.85</v>
      </c>
      <c r="D24" s="7">
        <v>0.2</v>
      </c>
      <c r="E24" s="8">
        <v>70</v>
      </c>
      <c r="F24" s="7">
        <v>0</v>
      </c>
      <c r="G24" s="1">
        <v>4.7316666666666665E-6</v>
      </c>
      <c r="H24" s="4">
        <v>7.6752632962437558E-7</v>
      </c>
      <c r="I24" s="4">
        <f t="shared" si="0"/>
        <v>3.8376316481218779E-7</v>
      </c>
      <c r="J24" s="4">
        <f t="shared" si="1"/>
        <v>3.8376316481218779E-7</v>
      </c>
      <c r="K24" s="55">
        <f t="shared" si="10"/>
        <v>0.1622105663172333</v>
      </c>
      <c r="L24" s="37"/>
      <c r="M24" s="4"/>
      <c r="P24" s="4">
        <v>6.9724999999999997E-6</v>
      </c>
      <c r="Q24" s="4">
        <v>5.1461150395224579E-7</v>
      </c>
      <c r="R24" s="4">
        <f t="shared" si="2"/>
        <v>2.573057519761229E-7</v>
      </c>
      <c r="S24" s="58">
        <f t="shared" si="3"/>
        <v>7.3805880810648372E-2</v>
      </c>
      <c r="T24" s="4"/>
      <c r="W24" t="s">
        <v>20</v>
      </c>
      <c r="Y24" s="23">
        <f t="shared" si="5"/>
        <v>59.5</v>
      </c>
      <c r="Z24" s="72">
        <f t="shared" si="6"/>
        <v>0.67861838173777933</v>
      </c>
    </row>
    <row r="25" spans="1:26" ht="15.75">
      <c r="A25" s="4">
        <v>7.9999999999999996E-7</v>
      </c>
      <c r="B25" s="5">
        <v>1E-13</v>
      </c>
      <c r="C25" s="8">
        <v>0.85</v>
      </c>
      <c r="D25" s="7">
        <v>0.2</v>
      </c>
      <c r="E25" s="8">
        <v>80</v>
      </c>
      <c r="F25" s="7">
        <v>0</v>
      </c>
      <c r="I25" s="4">
        <f t="shared" si="0"/>
        <v>0</v>
      </c>
      <c r="J25" s="4">
        <f t="shared" si="1"/>
        <v>0</v>
      </c>
      <c r="K25" s="55" t="e">
        <f t="shared" si="10"/>
        <v>#DIV/0!</v>
      </c>
      <c r="P25" s="4">
        <v>6.3257142857142854E-6</v>
      </c>
      <c r="Q25" s="4"/>
      <c r="R25" s="4">
        <f t="shared" si="2"/>
        <v>0</v>
      </c>
      <c r="S25" s="58">
        <f t="shared" si="3"/>
        <v>0</v>
      </c>
      <c r="T25" s="4"/>
      <c r="W25" t="s">
        <v>20</v>
      </c>
      <c r="Y25" s="23">
        <f t="shared" si="5"/>
        <v>68</v>
      </c>
      <c r="Z25" s="72">
        <f t="shared" si="6"/>
        <v>0</v>
      </c>
    </row>
    <row r="26" spans="1:26" s="27" customFormat="1" ht="15.75">
      <c r="A26" s="26">
        <v>7.9999999999999996E-7</v>
      </c>
      <c r="B26" s="36">
        <v>1E-13</v>
      </c>
      <c r="C26" s="25">
        <v>0.5</v>
      </c>
      <c r="D26" s="28">
        <v>0.2</v>
      </c>
      <c r="E26" s="25">
        <v>11</v>
      </c>
      <c r="F26" s="28">
        <v>0</v>
      </c>
      <c r="G26" s="29">
        <v>1.3666666666666664E-6</v>
      </c>
      <c r="H26" s="26">
        <v>2.0012496096189701E-7</v>
      </c>
      <c r="I26" s="4">
        <f t="shared" si="0"/>
        <v>1.000624804809485E-7</v>
      </c>
      <c r="J26" s="4">
        <f t="shared" si="1"/>
        <v>1.000624804809485E-7</v>
      </c>
      <c r="K26" s="57">
        <f t="shared" si="10"/>
        <v>0.14643289826480271</v>
      </c>
      <c r="N26" s="44">
        <v>1.68E-6</v>
      </c>
      <c r="O26" s="45">
        <v>2.0899999999999999E-6</v>
      </c>
      <c r="P26" s="26">
        <f t="shared" ref="P26:P31" si="11">0.5*(O26+N26)</f>
        <v>1.885E-6</v>
      </c>
      <c r="Q26" s="26">
        <f t="shared" ref="Q26:Q31" si="12">(O26-N26)/2</f>
        <v>2.0499999999999994E-7</v>
      </c>
      <c r="R26" s="4">
        <f t="shared" si="2"/>
        <v>1.0249999999999997E-7</v>
      </c>
      <c r="S26" s="57">
        <f t="shared" si="3"/>
        <v>0.10875331564986734</v>
      </c>
      <c r="T26" s="26"/>
      <c r="V26" s="28"/>
      <c r="W26" s="25" t="s">
        <v>28</v>
      </c>
      <c r="Y26" s="25">
        <f>C26*E26</f>
        <v>5.5</v>
      </c>
      <c r="Z26" s="72">
        <f t="shared" si="6"/>
        <v>0.72502210433244907</v>
      </c>
    </row>
    <row r="27" spans="1:26" s="6" customFormat="1" ht="15.75">
      <c r="A27" s="4">
        <v>7.9999999999999996E-7</v>
      </c>
      <c r="B27" s="5">
        <v>1E-13</v>
      </c>
      <c r="C27" s="8">
        <v>0.5</v>
      </c>
      <c r="D27" s="7">
        <v>0.2</v>
      </c>
      <c r="E27" s="8">
        <v>12</v>
      </c>
      <c r="F27" s="7">
        <v>0</v>
      </c>
      <c r="G27" s="37">
        <v>1.3490000000000001E-6</v>
      </c>
      <c r="H27" s="4">
        <v>1.6196364475468413E-7</v>
      </c>
      <c r="I27" s="4">
        <f t="shared" si="0"/>
        <v>8.0981822377342067E-8</v>
      </c>
      <c r="J27" s="4">
        <f t="shared" si="1"/>
        <v>8.0981822377342067E-8</v>
      </c>
      <c r="K27" s="55">
        <f t="shared" si="10"/>
        <v>0.12006200500717874</v>
      </c>
      <c r="L27" s="37"/>
      <c r="M27" s="4"/>
      <c r="N27" s="40">
        <v>1.6700000000000001E-6</v>
      </c>
      <c r="O27" s="12">
        <v>2.7700000000000002E-6</v>
      </c>
      <c r="P27" s="4">
        <f t="shared" si="11"/>
        <v>2.2199999999999999E-6</v>
      </c>
      <c r="Q27" s="4">
        <f t="shared" si="12"/>
        <v>5.5000000000000003E-7</v>
      </c>
      <c r="R27" s="4">
        <f t="shared" si="2"/>
        <v>2.7500000000000001E-7</v>
      </c>
      <c r="S27" s="58">
        <f t="shared" si="3"/>
        <v>0.24774774774774777</v>
      </c>
      <c r="T27" s="4"/>
      <c r="U27"/>
      <c r="V27" s="7"/>
      <c r="W27" s="8" t="s">
        <v>28</v>
      </c>
      <c r="X27"/>
      <c r="Y27" s="8">
        <f t="shared" ref="Y27:Y29" si="13">C27*E27</f>
        <v>6</v>
      </c>
      <c r="Z27" s="72">
        <f t="shared" si="6"/>
        <v>0.60765765765765778</v>
      </c>
    </row>
    <row r="28" spans="1:26" ht="15.75">
      <c r="A28" s="4">
        <v>7.9999999999999996E-7</v>
      </c>
      <c r="B28" s="5">
        <v>1E-13</v>
      </c>
      <c r="C28" s="8">
        <v>0.5</v>
      </c>
      <c r="D28" s="7">
        <v>0.2</v>
      </c>
      <c r="E28" s="8">
        <v>13</v>
      </c>
      <c r="F28" s="7">
        <v>0</v>
      </c>
      <c r="G28" s="1">
        <v>1.3E-6</v>
      </c>
      <c r="H28" s="4">
        <v>2.2632326929023989E-7</v>
      </c>
      <c r="I28" s="4">
        <f t="shared" si="0"/>
        <v>1.1316163464511995E-7</v>
      </c>
      <c r="J28" s="4">
        <f t="shared" si="1"/>
        <v>1.1316163464511995E-7</v>
      </c>
      <c r="K28" s="55">
        <f t="shared" si="10"/>
        <v>0.17409482253095376</v>
      </c>
      <c r="N28" s="40">
        <v>1.75E-6</v>
      </c>
      <c r="O28" s="12">
        <v>2.2299999999999998E-6</v>
      </c>
      <c r="P28" s="4">
        <f t="shared" si="11"/>
        <v>1.99E-6</v>
      </c>
      <c r="Q28" s="4">
        <f t="shared" si="12"/>
        <v>2.3999999999999993E-7</v>
      </c>
      <c r="R28" s="4">
        <f t="shared" si="2"/>
        <v>1.1999999999999996E-7</v>
      </c>
      <c r="S28" s="58">
        <f t="shared" si="3"/>
        <v>0.12060301507537685</v>
      </c>
      <c r="T28" s="4"/>
      <c r="W28" s="8" t="s">
        <v>28</v>
      </c>
      <c r="Y28" s="8">
        <f t="shared" si="13"/>
        <v>6.5</v>
      </c>
      <c r="Z28" s="72">
        <f t="shared" si="6"/>
        <v>0.65326633165829151</v>
      </c>
    </row>
    <row r="29" spans="1:26" ht="15.75">
      <c r="A29" s="4">
        <v>7.9999999999999996E-7</v>
      </c>
      <c r="B29" s="5">
        <v>1E-13</v>
      </c>
      <c r="C29" s="8">
        <v>0.5</v>
      </c>
      <c r="D29" s="7">
        <v>0.2</v>
      </c>
      <c r="E29" s="8">
        <v>14</v>
      </c>
      <c r="F29" s="7">
        <v>0</v>
      </c>
      <c r="G29" s="1">
        <v>1.4459999999999998E-6</v>
      </c>
      <c r="H29" s="4">
        <v>1.9625380392633419E-7</v>
      </c>
      <c r="I29" s="4">
        <f t="shared" si="0"/>
        <v>9.8126901963167094E-8</v>
      </c>
      <c r="J29" s="4">
        <f t="shared" si="1"/>
        <v>9.8126901963167094E-8</v>
      </c>
      <c r="K29" s="55">
        <f t="shared" si="10"/>
        <v>0.13572185610396556</v>
      </c>
      <c r="N29" s="40">
        <v>1.8700000000000001E-6</v>
      </c>
      <c r="O29" s="12">
        <v>2.5799999999999999E-6</v>
      </c>
      <c r="P29" s="38">
        <f t="shared" si="11"/>
        <v>2.2249999999999999E-6</v>
      </c>
      <c r="Q29" s="6">
        <f t="shared" si="12"/>
        <v>3.5499999999999988E-7</v>
      </c>
      <c r="R29" s="4">
        <f t="shared" si="2"/>
        <v>1.7749999999999994E-7</v>
      </c>
      <c r="S29" s="58">
        <f t="shared" si="3"/>
        <v>0.15955056179775276</v>
      </c>
      <c r="W29" s="8" t="s">
        <v>28</v>
      </c>
      <c r="Y29" s="8">
        <f t="shared" si="13"/>
        <v>7</v>
      </c>
      <c r="Z29" s="72">
        <f t="shared" si="6"/>
        <v>0.64988764044943814</v>
      </c>
    </row>
    <row r="30" spans="1:26" ht="15.75">
      <c r="A30" s="4">
        <v>7.9999999999999996E-7</v>
      </c>
      <c r="B30" s="5">
        <v>1E-13</v>
      </c>
      <c r="C30" s="8">
        <v>0.5</v>
      </c>
      <c r="D30" s="7">
        <v>0.2</v>
      </c>
      <c r="E30" s="8">
        <v>15</v>
      </c>
      <c r="F30" s="7">
        <v>4</v>
      </c>
      <c r="G30" s="1">
        <v>1.5533333333333332E-6</v>
      </c>
      <c r="H30" s="4">
        <v>2.4738633753706123E-7</v>
      </c>
      <c r="I30" s="4">
        <f t="shared" si="0"/>
        <v>1.2369316876853062E-7</v>
      </c>
      <c r="J30" s="4">
        <f t="shared" si="1"/>
        <v>1.2369316876853062E-7</v>
      </c>
      <c r="K30" s="55">
        <f t="shared" si="10"/>
        <v>0.15926159068909523</v>
      </c>
      <c r="L30" s="37"/>
      <c r="M30" s="4"/>
      <c r="N30" s="40">
        <v>1.5600000000000001E-6</v>
      </c>
      <c r="O30" s="12">
        <v>1.9E-6</v>
      </c>
      <c r="P30" s="4">
        <f t="shared" si="11"/>
        <v>1.73E-6</v>
      </c>
      <c r="Q30" s="4">
        <f t="shared" si="12"/>
        <v>1.6999999999999996E-7</v>
      </c>
      <c r="R30" s="4">
        <f t="shared" si="2"/>
        <v>8.499999999999998E-8</v>
      </c>
      <c r="S30" s="58">
        <f t="shared" si="3"/>
        <v>9.8265895953757204E-2</v>
      </c>
      <c r="T30" s="4"/>
      <c r="U30" s="6"/>
      <c r="W30" s="6" t="s">
        <v>27</v>
      </c>
      <c r="X30" s="6"/>
      <c r="Y30" s="8">
        <f>C30*E30</f>
        <v>7.5</v>
      </c>
      <c r="Z30" s="72">
        <f t="shared" si="6"/>
        <v>0.89788053949903657</v>
      </c>
    </row>
    <row r="31" spans="1:26" ht="15.75">
      <c r="A31" s="4">
        <v>7.9999999999999996E-7</v>
      </c>
      <c r="B31" s="5">
        <v>1E-13</v>
      </c>
      <c r="C31" s="8">
        <v>0.5</v>
      </c>
      <c r="D31" s="7">
        <v>0.2</v>
      </c>
      <c r="E31" s="8">
        <v>50</v>
      </c>
      <c r="F31" s="7">
        <v>4</v>
      </c>
      <c r="G31" s="1">
        <v>2.1744444444444451E-6</v>
      </c>
      <c r="H31" s="4">
        <v>5.5412343189742124E-7</v>
      </c>
      <c r="I31" s="4">
        <f t="shared" si="0"/>
        <v>2.7706171594871062E-7</v>
      </c>
      <c r="J31" s="4">
        <f t="shared" si="1"/>
        <v>2.7706171594871062E-7</v>
      </c>
      <c r="K31" s="55">
        <f t="shared" si="10"/>
        <v>0.25483448579850737</v>
      </c>
      <c r="L31" s="37"/>
      <c r="M31" s="4"/>
      <c r="N31" s="40">
        <v>2.3999999999999999E-6</v>
      </c>
      <c r="O31" s="12">
        <v>3.72E-6</v>
      </c>
      <c r="P31" s="4">
        <f t="shared" si="11"/>
        <v>3.0599999999999999E-6</v>
      </c>
      <c r="Q31" s="4">
        <f t="shared" si="12"/>
        <v>6.6000000000000003E-7</v>
      </c>
      <c r="R31" s="4">
        <f t="shared" si="2"/>
        <v>3.3000000000000002E-7</v>
      </c>
      <c r="S31" s="58">
        <f t="shared" si="3"/>
        <v>0.21568627450980393</v>
      </c>
      <c r="T31" s="4"/>
      <c r="W31" t="s">
        <v>27</v>
      </c>
      <c r="Y31" s="8">
        <f>C31*E31</f>
        <v>25</v>
      </c>
      <c r="Z31" s="72">
        <f t="shared" si="6"/>
        <v>0.71060275962236774</v>
      </c>
    </row>
    <row r="32" spans="1:26" ht="15.75">
      <c r="W32" t="s">
        <v>58</v>
      </c>
      <c r="Z32" s="72"/>
    </row>
    <row r="33" spans="23:26" ht="15.75">
      <c r="W33" t="s">
        <v>59</v>
      </c>
      <c r="Z33" s="72"/>
    </row>
  </sheetData>
  <sortState ref="A26:S31">
    <sortCondition ref="E26:E31"/>
  </sortState>
  <mergeCells count="3">
    <mergeCell ref="G1:H1"/>
    <mergeCell ref="L1:M1"/>
    <mergeCell ref="N1:S1"/>
  </mergeCells>
  <hyperlinks>
    <hyperlink ref="W16" r:id="rId1"/>
    <hyperlink ref="W17" r:id="rId2"/>
    <hyperlink ref="W18:W20" r:id="rId3" display="\\MEB-JEOL\Pockels 3\F850\Tilt 0"/>
    <hyperlink ref="W21:W23" r:id="rId4" display="\\MEB-JEOL\Pockels 3\F850\Tilt 0"/>
    <hyperlink ref="W24" r:id="rId5"/>
    <hyperlink ref="W25" r:id="rId6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AC11"/>
  <sheetViews>
    <sheetView topLeftCell="I1" zoomScale="85" zoomScaleNormal="85" workbookViewId="0">
      <selection activeCell="M3" activeCellId="1" sqref="C3:C11 M3:M11"/>
    </sheetView>
  </sheetViews>
  <sheetFormatPr baseColWidth="10" defaultRowHeight="15"/>
  <cols>
    <col min="7" max="7" width="11.42578125" style="8"/>
    <col min="8" max="11" width="11.42578125" style="6"/>
    <col min="12" max="12" width="11.42578125" style="7"/>
    <col min="16" max="16" width="11.42578125" style="7"/>
    <col min="17" max="17" width="11.42578125" style="6"/>
    <col min="18" max="18" width="11.42578125" style="7"/>
    <col min="21" max="22" width="12" bestFit="1" customWidth="1"/>
    <col min="23" max="23" width="12" customWidth="1"/>
    <col min="24" max="24" width="12" style="7" customWidth="1"/>
    <col min="26" max="26" width="11.42578125" style="7"/>
  </cols>
  <sheetData>
    <row r="1" spans="1:29">
      <c r="A1" s="6"/>
      <c r="B1" s="7"/>
      <c r="C1" s="8"/>
      <c r="D1" s="7"/>
      <c r="E1" s="8"/>
      <c r="F1" s="6"/>
      <c r="M1" s="65" t="s">
        <v>29</v>
      </c>
      <c r="N1" s="65"/>
      <c r="O1" s="65"/>
      <c r="P1" s="65"/>
      <c r="Q1" s="66" t="s">
        <v>30</v>
      </c>
      <c r="R1" s="68"/>
      <c r="S1" s="69" t="s">
        <v>13</v>
      </c>
      <c r="T1" s="70"/>
      <c r="U1" s="70"/>
      <c r="V1" s="71"/>
      <c r="W1" s="62"/>
      <c r="X1" s="47"/>
      <c r="AC1" s="8"/>
    </row>
    <row r="2" spans="1:29" ht="15.75">
      <c r="A2" s="9" t="s">
        <v>52</v>
      </c>
      <c r="B2" s="10" t="s">
        <v>7</v>
      </c>
      <c r="C2" s="9" t="s">
        <v>12</v>
      </c>
      <c r="D2" s="10" t="s">
        <v>0</v>
      </c>
      <c r="E2" s="9" t="s">
        <v>1</v>
      </c>
      <c r="F2" s="11" t="s">
        <v>2</v>
      </c>
      <c r="G2" s="49" t="s">
        <v>44</v>
      </c>
      <c r="H2" s="50" t="s">
        <v>45</v>
      </c>
      <c r="I2" s="51" t="s">
        <v>46</v>
      </c>
      <c r="J2" s="49" t="s">
        <v>47</v>
      </c>
      <c r="K2" s="50" t="s">
        <v>57</v>
      </c>
      <c r="L2" s="51" t="s">
        <v>48</v>
      </c>
      <c r="M2" s="11" t="s">
        <v>3</v>
      </c>
      <c r="N2" s="10" t="s">
        <v>4</v>
      </c>
      <c r="O2" s="10" t="s">
        <v>74</v>
      </c>
      <c r="P2" s="10" t="s">
        <v>60</v>
      </c>
      <c r="Q2" s="11" t="s">
        <v>3</v>
      </c>
      <c r="R2" s="10" t="s">
        <v>4</v>
      </c>
      <c r="S2" s="11" t="s">
        <v>14</v>
      </c>
      <c r="T2" s="11" t="s">
        <v>15</v>
      </c>
      <c r="U2" s="11" t="s">
        <v>8</v>
      </c>
      <c r="V2" s="10" t="s">
        <v>9</v>
      </c>
      <c r="W2" s="10" t="s">
        <v>73</v>
      </c>
      <c r="X2" s="10" t="s">
        <v>60</v>
      </c>
      <c r="Y2" s="11" t="s">
        <v>18</v>
      </c>
      <c r="Z2" s="10" t="s">
        <v>5</v>
      </c>
      <c r="AA2" s="11" t="s">
        <v>10</v>
      </c>
      <c r="AB2" s="11"/>
      <c r="AC2" s="9" t="s">
        <v>21</v>
      </c>
    </row>
    <row r="3" spans="1:29">
      <c r="A3">
        <v>800</v>
      </c>
      <c r="B3" s="1">
        <v>9.9999999999999994E-12</v>
      </c>
      <c r="C3">
        <v>6.4000000000000001E-2</v>
      </c>
      <c r="E3">
        <v>120000</v>
      </c>
      <c r="G3" s="8" t="s">
        <v>71</v>
      </c>
      <c r="H3" s="6" t="s">
        <v>72</v>
      </c>
      <c r="I3" s="63">
        <v>2004</v>
      </c>
      <c r="J3" s="64" t="s">
        <v>56</v>
      </c>
      <c r="L3" s="7">
        <v>1.1200000000000001</v>
      </c>
      <c r="M3" s="1">
        <v>2.43E-6</v>
      </c>
      <c r="N3" s="1">
        <v>2.6399999999999998E-7</v>
      </c>
      <c r="O3" s="1">
        <f>N3/2</f>
        <v>1.3199999999999999E-7</v>
      </c>
      <c r="P3" s="58">
        <f>N3/M3</f>
        <v>0.10864197530864196</v>
      </c>
      <c r="S3" s="1">
        <v>2.1799999999999999E-6</v>
      </c>
      <c r="T3" s="1">
        <v>2.7099999999999999E-6</v>
      </c>
      <c r="U3" s="1">
        <f t="shared" ref="U3:U11" si="0">(S3+T3)/2</f>
        <v>2.4449999999999999E-6</v>
      </c>
      <c r="V3" s="38">
        <f t="shared" ref="V3:V11" si="1">(T3-S3)/2</f>
        <v>2.65E-7</v>
      </c>
      <c r="W3" s="1">
        <f t="shared" ref="W3:W11" si="2">V3/2</f>
        <v>1.325E-7</v>
      </c>
      <c r="X3" s="58">
        <f t="shared" ref="X3:X11" si="3">V3/U3</f>
        <v>0.10838445807770962</v>
      </c>
      <c r="Y3" t="s">
        <v>77</v>
      </c>
    </row>
    <row r="4" spans="1:29" hidden="1">
      <c r="A4">
        <v>800</v>
      </c>
      <c r="B4" s="1">
        <v>4.4999999999999998E-14</v>
      </c>
      <c r="C4">
        <v>0.1</v>
      </c>
      <c r="D4">
        <v>0.3</v>
      </c>
      <c r="E4" t="s">
        <v>53</v>
      </c>
      <c r="F4" t="s">
        <v>53</v>
      </c>
      <c r="G4" s="52" t="s">
        <v>49</v>
      </c>
      <c r="H4" s="53" t="s">
        <v>50</v>
      </c>
      <c r="I4" s="54">
        <v>2011</v>
      </c>
      <c r="J4" s="52" t="s">
        <v>51</v>
      </c>
      <c r="K4" s="53"/>
      <c r="L4" s="54">
        <v>1.42</v>
      </c>
      <c r="S4" s="1">
        <v>5.6000000000000004E-7</v>
      </c>
      <c r="T4">
        <v>0.56999999999999995</v>
      </c>
      <c r="U4" s="1">
        <f t="shared" si="0"/>
        <v>0.28500027999999999</v>
      </c>
      <c r="V4" s="1">
        <f t="shared" si="1"/>
        <v>0.28499971999999996</v>
      </c>
      <c r="W4" s="1">
        <f t="shared" si="2"/>
        <v>0.14249985999999998</v>
      </c>
      <c r="X4" s="58">
        <f t="shared" si="3"/>
        <v>0.99999803508964957</v>
      </c>
    </row>
    <row r="5" spans="1:29">
      <c r="A5">
        <v>800</v>
      </c>
      <c r="B5" s="1">
        <v>1E-13</v>
      </c>
      <c r="C5">
        <v>0.11</v>
      </c>
      <c r="D5">
        <v>0</v>
      </c>
      <c r="E5">
        <v>1000</v>
      </c>
      <c r="F5">
        <v>0</v>
      </c>
      <c r="G5" s="8" t="s">
        <v>55</v>
      </c>
      <c r="I5" s="53">
        <v>2010</v>
      </c>
      <c r="J5" s="53" t="s">
        <v>56</v>
      </c>
      <c r="K5" s="6">
        <v>100</v>
      </c>
      <c r="L5" s="54">
        <v>1.1200000000000001</v>
      </c>
      <c r="O5" s="1">
        <f t="shared" ref="O5:O11" si="4">N5/2</f>
        <v>0</v>
      </c>
      <c r="S5" s="1">
        <v>1.2300000000000001E-6</v>
      </c>
      <c r="T5" s="1">
        <v>2.1500000000000002E-6</v>
      </c>
      <c r="U5" s="1">
        <f t="shared" si="0"/>
        <v>1.6900000000000001E-6</v>
      </c>
      <c r="V5" s="1">
        <f t="shared" si="1"/>
        <v>4.6000000000000004E-7</v>
      </c>
      <c r="W5" s="1">
        <f t="shared" si="2"/>
        <v>2.3000000000000002E-7</v>
      </c>
      <c r="X5" s="58">
        <f t="shared" si="3"/>
        <v>0.27218934911242604</v>
      </c>
    </row>
    <row r="6" spans="1:29">
      <c r="A6">
        <v>800</v>
      </c>
      <c r="B6" s="1">
        <v>1E-13</v>
      </c>
      <c r="C6">
        <v>0.16</v>
      </c>
      <c r="D6">
        <v>0</v>
      </c>
      <c r="E6">
        <v>1000</v>
      </c>
      <c r="F6">
        <v>0</v>
      </c>
      <c r="G6" s="8" t="s">
        <v>54</v>
      </c>
      <c r="H6" s="6" t="s">
        <v>65</v>
      </c>
      <c r="I6" s="59">
        <v>2006</v>
      </c>
      <c r="J6" s="59" t="s">
        <v>56</v>
      </c>
      <c r="K6" s="6">
        <v>1</v>
      </c>
      <c r="L6" s="7">
        <v>1.1200000000000001</v>
      </c>
      <c r="M6" s="1">
        <v>1.48E-6</v>
      </c>
      <c r="N6" s="1">
        <v>2.9999999999999999E-7</v>
      </c>
      <c r="O6" s="1">
        <f t="shared" si="4"/>
        <v>1.4999999999999999E-7</v>
      </c>
      <c r="P6" s="58">
        <f>N6/M6</f>
        <v>0.20270270270270269</v>
      </c>
      <c r="S6" s="1">
        <v>1.55E-6</v>
      </c>
      <c r="T6" s="1">
        <v>1.75E-6</v>
      </c>
      <c r="U6" s="1">
        <f t="shared" si="0"/>
        <v>1.6499999999999999E-6</v>
      </c>
      <c r="V6" s="1">
        <f t="shared" si="1"/>
        <v>9.9999999999999995E-8</v>
      </c>
      <c r="W6" s="1">
        <f t="shared" si="2"/>
        <v>4.9999999999999998E-8</v>
      </c>
      <c r="X6" s="58">
        <f t="shared" si="3"/>
        <v>6.0606060606060608E-2</v>
      </c>
      <c r="Y6" t="s">
        <v>77</v>
      </c>
    </row>
    <row r="7" spans="1:29">
      <c r="A7">
        <v>800</v>
      </c>
      <c r="B7" s="1">
        <v>1E-13</v>
      </c>
      <c r="C7">
        <v>0.16</v>
      </c>
      <c r="D7">
        <v>0</v>
      </c>
      <c r="E7">
        <v>10000</v>
      </c>
      <c r="G7" s="8" t="s">
        <v>71</v>
      </c>
      <c r="H7" s="6" t="s">
        <v>72</v>
      </c>
      <c r="I7" s="59">
        <v>2004</v>
      </c>
      <c r="J7" s="59" t="s">
        <v>56</v>
      </c>
      <c r="L7" s="7">
        <v>1.1200000000000001</v>
      </c>
      <c r="M7" s="1">
        <v>2.3099999999999999E-6</v>
      </c>
      <c r="N7" s="1">
        <v>4.4400000000000001E-7</v>
      </c>
      <c r="O7" s="1">
        <f t="shared" si="4"/>
        <v>2.22E-7</v>
      </c>
      <c r="P7" s="58">
        <f>N7/M7</f>
        <v>0.19220779220779222</v>
      </c>
      <c r="S7" s="1">
        <v>2.65E-6</v>
      </c>
      <c r="T7" s="1">
        <v>2.96E-6</v>
      </c>
      <c r="U7" s="1">
        <f t="shared" si="0"/>
        <v>2.8050000000000002E-6</v>
      </c>
      <c r="V7" s="38">
        <f t="shared" si="1"/>
        <v>1.55E-7</v>
      </c>
      <c r="W7" s="1">
        <f t="shared" si="2"/>
        <v>7.7499999999999999E-8</v>
      </c>
      <c r="X7" s="58">
        <f t="shared" si="3"/>
        <v>5.52584670231729E-2</v>
      </c>
      <c r="Y7" t="s">
        <v>77</v>
      </c>
    </row>
    <row r="8" spans="1:29">
      <c r="A8">
        <v>800</v>
      </c>
      <c r="B8" s="1">
        <v>1E-13</v>
      </c>
      <c r="C8">
        <v>0.16</v>
      </c>
      <c r="E8">
        <v>20000</v>
      </c>
      <c r="G8" s="8" t="s">
        <v>71</v>
      </c>
      <c r="H8" s="6" t="s">
        <v>72</v>
      </c>
      <c r="I8" s="59">
        <v>2004</v>
      </c>
      <c r="J8" s="59" t="s">
        <v>56</v>
      </c>
      <c r="L8" s="7">
        <v>1.1200000000000001</v>
      </c>
      <c r="M8" s="1">
        <v>2.1799999999999999E-6</v>
      </c>
      <c r="N8" s="1">
        <v>3.3000000000000002E-7</v>
      </c>
      <c r="O8" s="1">
        <f t="shared" si="4"/>
        <v>1.6500000000000001E-7</v>
      </c>
      <c r="P8" s="58">
        <f>N8/M8</f>
        <v>0.15137614678899083</v>
      </c>
      <c r="S8" s="1">
        <v>2.34E-6</v>
      </c>
      <c r="T8" s="1">
        <v>3.63E-6</v>
      </c>
      <c r="U8" s="1">
        <f t="shared" si="0"/>
        <v>2.9850000000000002E-6</v>
      </c>
      <c r="V8" s="38">
        <f t="shared" si="1"/>
        <v>6.4499999999999997E-7</v>
      </c>
      <c r="W8" s="1">
        <f t="shared" si="2"/>
        <v>3.2249999999999998E-7</v>
      </c>
      <c r="X8" s="58">
        <f t="shared" si="3"/>
        <v>0.21608040201005022</v>
      </c>
      <c r="Y8" t="s">
        <v>77</v>
      </c>
    </row>
    <row r="9" spans="1:29" hidden="1">
      <c r="A9">
        <v>800</v>
      </c>
      <c r="B9" s="1">
        <v>4.4999999999999998E-14</v>
      </c>
      <c r="C9">
        <v>1</v>
      </c>
      <c r="D9">
        <v>0.2</v>
      </c>
      <c r="E9" t="s">
        <v>53</v>
      </c>
      <c r="F9" t="s">
        <v>53</v>
      </c>
      <c r="G9" s="52" t="s">
        <v>49</v>
      </c>
      <c r="H9" s="53" t="s">
        <v>50</v>
      </c>
      <c r="I9" s="53">
        <v>2011</v>
      </c>
      <c r="J9" s="53" t="s">
        <v>51</v>
      </c>
      <c r="K9" s="53"/>
      <c r="L9" s="54">
        <v>1.42</v>
      </c>
      <c r="S9" s="1">
        <v>2.1900000000000002E-6</v>
      </c>
      <c r="T9" s="1">
        <v>2.9000000000000002E-6</v>
      </c>
      <c r="U9" s="1">
        <f t="shared" si="0"/>
        <v>2.5450000000000002E-6</v>
      </c>
      <c r="V9" s="1">
        <f t="shared" si="1"/>
        <v>3.5499999999999999E-7</v>
      </c>
      <c r="W9" s="1">
        <f t="shared" si="2"/>
        <v>1.7749999999999999E-7</v>
      </c>
      <c r="X9" s="58">
        <f t="shared" si="3"/>
        <v>0.13948919449901767</v>
      </c>
    </row>
    <row r="10" spans="1:29">
      <c r="A10">
        <v>800</v>
      </c>
      <c r="B10" s="1">
        <v>1.3E-13</v>
      </c>
      <c r="C10">
        <v>0.42</v>
      </c>
      <c r="D10">
        <v>0</v>
      </c>
      <c r="E10">
        <v>100</v>
      </c>
      <c r="F10">
        <v>0</v>
      </c>
      <c r="G10" s="8" t="s">
        <v>75</v>
      </c>
      <c r="H10" s="60" t="s">
        <v>76</v>
      </c>
      <c r="I10" s="59">
        <v>2010</v>
      </c>
      <c r="J10" s="59" t="s">
        <v>56</v>
      </c>
      <c r="L10" s="7">
        <v>1.1200000000000001</v>
      </c>
      <c r="M10" s="1">
        <v>1.39E-6</v>
      </c>
      <c r="N10" s="1">
        <v>4.6100000000000001E-7</v>
      </c>
      <c r="O10" s="1">
        <f t="shared" si="4"/>
        <v>2.3050000000000001E-7</v>
      </c>
      <c r="P10" s="58">
        <f t="shared" ref="P10:P11" si="5">N10/M10</f>
        <v>0.33165467625899281</v>
      </c>
      <c r="S10" s="1">
        <v>1.66E-6</v>
      </c>
      <c r="T10" s="1">
        <v>2.21E-6</v>
      </c>
      <c r="U10" s="1">
        <f t="shared" si="0"/>
        <v>1.9350000000000001E-6</v>
      </c>
      <c r="V10" s="38">
        <f t="shared" si="1"/>
        <v>2.7500000000000001E-7</v>
      </c>
      <c r="W10" s="1">
        <f t="shared" si="2"/>
        <v>1.3750000000000001E-7</v>
      </c>
      <c r="X10" s="7">
        <f t="shared" si="3"/>
        <v>0.1421188630490956</v>
      </c>
      <c r="Y10" t="s">
        <v>78</v>
      </c>
    </row>
    <row r="11" spans="1:29">
      <c r="A11">
        <v>800</v>
      </c>
      <c r="B11" s="1">
        <v>1.3E-13</v>
      </c>
      <c r="C11">
        <v>0.42</v>
      </c>
      <c r="D11">
        <v>0</v>
      </c>
      <c r="E11">
        <v>500</v>
      </c>
      <c r="F11">
        <v>0</v>
      </c>
      <c r="G11" s="8" t="s">
        <v>75</v>
      </c>
      <c r="H11" s="60" t="s">
        <v>76</v>
      </c>
      <c r="I11" s="59">
        <v>2010</v>
      </c>
      <c r="J11" s="59" t="s">
        <v>56</v>
      </c>
      <c r="L11" s="7">
        <v>1.1200000000000001</v>
      </c>
      <c r="M11" s="1">
        <v>1.33E-6</v>
      </c>
      <c r="N11" s="1">
        <v>3.1800000000000002E-7</v>
      </c>
      <c r="O11" s="1">
        <f t="shared" si="4"/>
        <v>1.5900000000000001E-7</v>
      </c>
      <c r="P11" s="58">
        <f t="shared" si="5"/>
        <v>0.23909774436090228</v>
      </c>
      <c r="S11" s="1">
        <v>1.76E-16</v>
      </c>
      <c r="T11" s="1">
        <v>2.2699999999999999E-6</v>
      </c>
      <c r="U11" s="1">
        <f t="shared" si="0"/>
        <v>1.1350000000879999E-6</v>
      </c>
      <c r="V11" s="38">
        <f t="shared" si="1"/>
        <v>1.134999999912E-6</v>
      </c>
      <c r="W11" s="1">
        <f t="shared" si="2"/>
        <v>5.6749999995599999E-7</v>
      </c>
      <c r="X11" s="7">
        <f t="shared" si="3"/>
        <v>0.99999999984493404</v>
      </c>
      <c r="Y11" t="s">
        <v>78</v>
      </c>
    </row>
  </sheetData>
  <autoFilter ref="A1:AC9">
    <filterColumn colId="9">
      <filters>
        <filter val="Matériau"/>
        <filter val="Si"/>
      </filters>
    </filterColumn>
    <filterColumn colId="12" showButton="0"/>
    <filterColumn colId="13" showButton="0"/>
    <filterColumn colId="14" hiddenButton="1" showButton="0"/>
    <filterColumn colId="16" showButton="0"/>
    <filterColumn colId="18" showButton="0"/>
    <filterColumn colId="19" showButton="0"/>
    <filterColumn colId="20" showButton="0"/>
  </autoFilter>
  <sortState ref="A3:AB9">
    <sortCondition ref="C3:C9"/>
    <sortCondition ref="E3:E9"/>
  </sortState>
  <mergeCells count="3">
    <mergeCell ref="M1:P1"/>
    <mergeCell ref="Q1:R1"/>
    <mergeCell ref="S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B8" sqref="B8:B17"/>
    </sheetView>
  </sheetViews>
  <sheetFormatPr baseColWidth="10" defaultRowHeight="15"/>
  <cols>
    <col min="2" max="2" width="11.42578125" style="8"/>
    <col min="3" max="3" width="11.42578125" style="7"/>
    <col min="4" max="4" width="12" bestFit="1" customWidth="1"/>
    <col min="7" max="7" width="12" bestFit="1" customWidth="1"/>
  </cols>
  <sheetData>
    <row r="1" spans="1:7">
      <c r="B1" s="25"/>
      <c r="C1" s="28"/>
    </row>
    <row r="2" spans="1:7">
      <c r="A2" s="18" t="s">
        <v>24</v>
      </c>
      <c r="B2" s="18" t="s">
        <v>23</v>
      </c>
      <c r="C2" s="19" t="s">
        <v>22</v>
      </c>
    </row>
    <row r="3" spans="1:7" s="27" customFormat="1">
      <c r="A3" s="25" t="s">
        <v>16</v>
      </c>
      <c r="B3" s="30">
        <f>AVERAGE(B8:B25)</f>
        <v>1.391</v>
      </c>
      <c r="C3" s="31" t="e">
        <f>AVERAGE(C8:C25)</f>
        <v>#DIV/0!</v>
      </c>
      <c r="E3" t="s">
        <v>23</v>
      </c>
      <c r="F3" s="34">
        <f>B3*0.000001</f>
        <v>1.3909999999999999E-6</v>
      </c>
      <c r="G3" s="34">
        <f>B4*0.000001</f>
        <v>4.6095191361644926E-7</v>
      </c>
    </row>
    <row r="4" spans="1:7" s="6" customFormat="1">
      <c r="A4" s="8" t="s">
        <v>17</v>
      </c>
      <c r="B4" s="32">
        <f>STDEV(B8:B26)</f>
        <v>0.46095191361644927</v>
      </c>
      <c r="C4" s="33" t="e">
        <f>STDEV(C8:C26)</f>
        <v>#DIV/0!</v>
      </c>
      <c r="E4" t="s">
        <v>22</v>
      </c>
      <c r="F4" s="34" t="e">
        <f>C3*0.000001</f>
        <v>#DIV/0!</v>
      </c>
      <c r="G4" s="35" t="e">
        <f>C4*0.000001</f>
        <v>#DIV/0!</v>
      </c>
    </row>
    <row r="5" spans="1:7" s="6" customFormat="1">
      <c r="A5" s="60" t="s">
        <v>66</v>
      </c>
      <c r="B5" s="61">
        <f>B4/B3</f>
        <v>0.33138167765380966</v>
      </c>
      <c r="C5" s="35"/>
      <c r="E5"/>
      <c r="F5" s="34"/>
      <c r="G5" s="35"/>
    </row>
    <row r="6" spans="1:7" s="27" customFormat="1">
      <c r="A6" s="27" t="s">
        <v>26</v>
      </c>
      <c r="D6" s="26"/>
      <c r="E6" s="26"/>
    </row>
    <row r="7" spans="1:7" s="6" customFormat="1">
      <c r="A7" s="27"/>
      <c r="B7" s="26"/>
      <c r="C7" s="26"/>
      <c r="D7" s="4"/>
      <c r="E7" s="4"/>
    </row>
    <row r="8" spans="1:7">
      <c r="A8" s="27" t="s">
        <v>25</v>
      </c>
      <c r="B8" s="29">
        <v>2.39</v>
      </c>
      <c r="C8" s="28"/>
    </row>
    <row r="9" spans="1:7">
      <c r="B9" s="8">
        <v>1.21</v>
      </c>
    </row>
    <row r="10" spans="1:7">
      <c r="B10" s="8">
        <v>1.97</v>
      </c>
    </row>
    <row r="11" spans="1:7">
      <c r="B11" s="8">
        <v>0.95</v>
      </c>
    </row>
    <row r="12" spans="1:7">
      <c r="B12" s="8">
        <v>1.4</v>
      </c>
    </row>
    <row r="13" spans="1:7">
      <c r="B13" s="8">
        <v>1.25</v>
      </c>
    </row>
    <row r="14" spans="1:7">
      <c r="B14" s="8">
        <v>1.48</v>
      </c>
    </row>
    <row r="15" spans="1:7">
      <c r="B15" s="8">
        <v>0.95</v>
      </c>
    </row>
    <row r="16" spans="1:7">
      <c r="B16" s="8">
        <v>1.06</v>
      </c>
    </row>
    <row r="17" spans="2:2">
      <c r="B17" s="8">
        <v>1.25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selection activeCell="B4" sqref="B4"/>
    </sheetView>
  </sheetViews>
  <sheetFormatPr baseColWidth="10" defaultRowHeight="15"/>
  <cols>
    <col min="4" max="5" width="12" bestFit="1" customWidth="1"/>
  </cols>
  <sheetData>
    <row r="1" spans="1:12">
      <c r="A1" t="s">
        <v>31</v>
      </c>
      <c r="I1" t="s">
        <v>41</v>
      </c>
      <c r="J1" t="s">
        <v>42</v>
      </c>
    </row>
    <row r="2" spans="1:12">
      <c r="B2" t="s">
        <v>39</v>
      </c>
      <c r="C2" t="s">
        <v>40</v>
      </c>
      <c r="D2" t="s">
        <v>36</v>
      </c>
      <c r="E2" t="s">
        <v>40</v>
      </c>
      <c r="F2" t="s">
        <v>37</v>
      </c>
    </row>
    <row r="3" spans="1:12">
      <c r="A3" t="s">
        <v>32</v>
      </c>
    </row>
    <row r="4" spans="1:12">
      <c r="A4" t="s">
        <v>33</v>
      </c>
    </row>
    <row r="5" spans="1:12">
      <c r="A5" t="s">
        <v>34</v>
      </c>
      <c r="B5" s="1">
        <f>(I5+J5)/2</f>
        <v>1.75E-6</v>
      </c>
      <c r="C5" s="1">
        <f>(J5-I5)/2</f>
        <v>1.5000000000000005E-7</v>
      </c>
      <c r="D5" s="1">
        <f>(K5+L5)/2</f>
        <v>2.8950000000000002E-6</v>
      </c>
      <c r="E5" s="1">
        <f>(L5-K5)/2</f>
        <v>1.2499999999999986E-7</v>
      </c>
      <c r="F5" t="s">
        <v>43</v>
      </c>
      <c r="I5" s="1">
        <v>1.5999999999999999E-6</v>
      </c>
      <c r="J5" s="1">
        <v>1.9E-6</v>
      </c>
      <c r="K5" s="1">
        <v>2.7700000000000002E-6</v>
      </c>
      <c r="L5" s="1">
        <v>3.0199999999999999E-6</v>
      </c>
    </row>
    <row r="6" spans="1:12">
      <c r="A6" t="s">
        <v>35</v>
      </c>
      <c r="B6" s="1">
        <v>2.5999999999999998E-5</v>
      </c>
      <c r="C6" s="1">
        <v>9.9999999999999995E-7</v>
      </c>
      <c r="D6" s="1">
        <v>5.0000000000000004E-6</v>
      </c>
      <c r="F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Graphiques</vt:lpstr>
      </vt:variant>
      <vt:variant>
        <vt:i4>5</vt:i4>
      </vt:variant>
    </vt:vector>
  </HeadingPairs>
  <TitlesOfParts>
    <vt:vector size="9" baseType="lpstr">
      <vt:lpstr>Beads LP3</vt:lpstr>
      <vt:lpstr>Beads littérature</vt:lpstr>
      <vt:lpstr>Stats</vt:lpstr>
      <vt:lpstr>Height</vt:lpstr>
      <vt:lpstr>GraphN-PeriodBeads</vt:lpstr>
      <vt:lpstr>GraphN-BeadsDiameter</vt:lpstr>
      <vt:lpstr>GraphF-Période</vt:lpstr>
      <vt:lpstr>GraphF-Diamètre</vt:lpstr>
      <vt:lpstr>NF graphs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</dc:creator>
  <cp:lastModifiedBy>Thibault</cp:lastModifiedBy>
  <dcterms:created xsi:type="dcterms:W3CDTF">2011-01-13T13:28:33Z</dcterms:created>
  <dcterms:modified xsi:type="dcterms:W3CDTF">2011-10-26T17:31:55Z</dcterms:modified>
</cp:coreProperties>
</file>