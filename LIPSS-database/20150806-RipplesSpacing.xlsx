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3.xml" ContentType="application/vnd.openxmlformats-officedocument.drawingml.chart+xml"/>
  <Override PartName="/xl/drawings/_rels/drawing8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7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3" firstSheet="0" activeTab="1"/>
  </bookViews>
  <sheets>
    <sheet name="Incertitudes" sheetId="1" state="visible" r:id="rId2"/>
    <sheet name="RipplesSpacing-Litteratur" sheetId="2" state="visible" r:id="rId3"/>
    <sheet name="RipplesSpacing-LP3" sheetId="3" state="visible" r:id="rId4"/>
    <sheet name="LambdaVSwavelength" sheetId="4" state="visible" r:id="rId5"/>
    <sheet name="PeriodVSN" sheetId="5" state="visible" r:id="rId6"/>
    <sheet name="PeriodNormWithFluence" sheetId="6" state="visible" r:id="rId7"/>
    <sheet name="PeriodWithTau" sheetId="7" state="visible" r:id="rId8"/>
    <sheet name="SpotSizeEffect" sheetId="8" state="visible" r:id="rId9"/>
    <sheet name="Mixed-N x I vs Lambda" sheetId="9" state="visible" r:id="rId10"/>
  </sheets>
  <definedNames>
    <definedName function="false" hidden="true" localSheetId="2" name="_xlnm._FilterDatabase" vbProcedure="false">'RipplesSpacing-LP3'!$A$1:$AJ$89</definedName>
    <definedName function="false" hidden="true" localSheetId="1" name="_xlnm._FilterDatabase" vbProcedure="false">'RipplesSpacing-Litteratur'!$A$1:$AZ$67</definedName>
    <definedName function="false" hidden="false" localSheetId="1" name="_xlnm._FilterDatabase" vbProcedure="false">'RipplesSpacing-Litteratur'!$A$1:$AZ$67</definedName>
    <definedName function="false" hidden="false" localSheetId="2" name="_xlnm.Criteria" vbProcedure="false">'RipplesSpacing-LP3'!$M:$M</definedName>
    <definedName function="false" hidden="false" localSheetId="2" name="_xlnm._FilterDatabase" vbProcedure="false">'RipplesSpacing-LP3'!$A$1:$AJ$89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<sst xmlns="http://schemas.openxmlformats.org/spreadsheetml/2006/main" count="1515" uniqueCount="278">
  <si>
    <t>Calculs d'incertitude de mesure de la période des ripples</t>
  </si>
  <si>
    <t>Erreur d'étalonnage sur MEB</t>
  </si>
  <si>
    <t>Erreur de mesure totale en considérant l'erreur sur l'étalonnage</t>
  </si>
  <si>
    <t>Zoom (x)</t>
  </si>
  <si>
    <t>L etalonnage</t>
  </si>
  <si>
    <t>Long. Px (N)</t>
  </si>
  <si>
    <t>delta N</t>
  </si>
  <si>
    <t>Delta L</t>
  </si>
  <si>
    <t>Nb periods</t>
  </si>
  <si>
    <t>Distance mesurée (m)</t>
  </si>
  <si>
    <t>Err. Distance</t>
  </si>
  <si>
    <t>Erreur étalonnage</t>
  </si>
  <si>
    <t>Erreur totale</t>
  </si>
  <si>
    <t>Cas particulier du ripple single shot de Chloé</t>
  </si>
  <si>
    <t>Mesure des ripples autour de défauts</t>
  </si>
  <si>
    <t>Longueur de propagation ripple</t>
  </si>
  <si>
    <t>Périodes</t>
  </si>
  <si>
    <t>Min</t>
  </si>
  <si>
    <t>Max</t>
  </si>
  <si>
    <t>Period</t>
  </si>
  <si>
    <t>Error</t>
  </si>
  <si>
    <t>Relative</t>
  </si>
  <si>
    <t>lambda</t>
  </si>
  <si>
    <t>n</t>
  </si>
  <si>
    <t>lambda/n</t>
  </si>
  <si>
    <t>Distance</t>
  </si>
  <si>
    <t>Exp</t>
  </si>
  <si>
    <t>gros</t>
  </si>
  <si>
    <t>extérieurs droits</t>
  </si>
  <si>
    <t>bord gauche du spot</t>
  </si>
  <si>
    <t>moyenne</t>
  </si>
  <si>
    <t>FDTD</t>
  </si>
  <si>
    <t>spot fdtd avec trou rayon de courbure 3 µm</t>
  </si>
  <si>
    <t>ecart type</t>
  </si>
  <si>
    <t>Mesure avec la nouvelle relation déterminée today</t>
  </si>
  <si>
    <t>Methode directe</t>
  </si>
  <si>
    <t>M</t>
  </si>
  <si>
    <t>l min</t>
  </si>
  <si>
    <t>l max</t>
  </si>
  <si>
    <t>l</t>
  </si>
  <si>
    <t>dl</t>
  </si>
  <si>
    <t>N</t>
  </si>
  <si>
    <t>dN</t>
  </si>
  <si>
    <t>L</t>
  </si>
  <si>
    <t>Lambda</t>
  </si>
  <si>
    <t>dLambda totale</t>
  </si>
  <si>
    <t>erreur relative</t>
  </si>
  <si>
    <t>dLambda mesure</t>
  </si>
  <si>
    <t>dLambda mes rel</t>
  </si>
  <si>
    <t>Methode Fourier</t>
  </si>
  <si>
    <t>dLambda tot</t>
  </si>
  <si>
    <t>large…</t>
  </si>
  <si>
    <t>-</t>
  </si>
  <si>
    <t>Sur image mieux définie…</t>
  </si>
  <si>
    <t>Methode</t>
  </si>
  <si>
    <t>FFT</t>
  </si>
  <si>
    <t>Peak Fluence (J/cm²)</t>
  </si>
  <si>
    <t>Pulse Fluence (J/cm²)</t>
  </si>
  <si>
    <t>Période normalisee</t>
  </si>
  <si>
    <t>Période (nm)</t>
  </si>
  <si>
    <t>Période min (nm)</t>
  </si>
  <si>
    <t>Nombre</t>
  </si>
  <si>
    <t>Wavelength (nm)</t>
  </si>
  <si>
    <t>tau (ps) - pusle duration</t>
  </si>
  <si>
    <t>Pulse energy (J)</t>
  </si>
  <si>
    <t>Laser Intensity (W/cm²)</t>
  </si>
  <si>
    <t>N - number of pulses</t>
  </si>
  <si>
    <t>Scanning velocity (m/s)</t>
  </si>
  <si>
    <t>Scanning direction (vs. Pollarisation of E)</t>
  </si>
  <si>
    <t>Total power</t>
  </si>
  <si>
    <t>Total (J/cm²)</t>
  </si>
  <si>
    <t>Erreur abs /2</t>
  </si>
  <si>
    <t>Erreur</t>
  </si>
  <si>
    <t>Erreur /2</t>
  </si>
  <si>
    <t>Calculated NeMax</t>
  </si>
  <si>
    <t>SPP period</t>
  </si>
  <si>
    <t>Auteur</t>
  </si>
  <si>
    <t>Revue - Journal</t>
  </si>
  <si>
    <t>Année</t>
  </si>
  <si>
    <t>Matériau</t>
  </si>
  <si>
    <t>Substrate</t>
  </si>
  <si>
    <r>
      <t xml:space="preserve">Thickness (</t>
    </r>
    <r>
      <rPr>
        <b val="true"/>
        <sz val="11"/>
        <color rgb="FF000000"/>
        <rFont val="Calibri"/>
        <family val="2"/>
        <charset val="238"/>
      </rPr>
      <t xml:space="preserve">µ</t>
    </r>
    <r>
      <rPr>
        <b val="true"/>
        <sz val="11"/>
        <color rgb="FF000000"/>
        <rFont val="Calibri"/>
        <family val="2"/>
        <charset val="1"/>
      </rPr>
      <t xml:space="preserve">m)</t>
    </r>
  </si>
  <si>
    <t>Thickness of each layer (nm)</t>
  </si>
  <si>
    <t>Structure atomic</t>
  </si>
  <si>
    <t>Gap (eV)</t>
  </si>
  <si>
    <t>Orientation of crystal</t>
  </si>
  <si>
    <t>Melting threshold (Intensity) (W/m²)</t>
  </si>
  <si>
    <t>Ablation threshold (W/m²)</t>
  </si>
  <si>
    <t>Environment (water, gas ... )</t>
  </si>
  <si>
    <t>Atmosphere type</t>
  </si>
  <si>
    <t>Pressure atmosphere</t>
  </si>
  <si>
    <t>Rep. Rate</t>
  </si>
  <si>
    <t>Doping (#/m3) (+p, -n)</t>
  </si>
  <si>
    <t>Spot diameter X (µm)</t>
  </si>
  <si>
    <t>Spot diameter Y (µm)</t>
  </si>
  <si>
    <t>SpotFWHM (µm)</t>
  </si>
  <si>
    <t>Regularity</t>
  </si>
  <si>
    <t>Angle of incidence</t>
  </si>
  <si>
    <t>Polarisation</t>
  </si>
  <si>
    <t>Polarisation  Type</t>
  </si>
  <si>
    <t>Orientation (0: perpendicular, 90: paralel, 45:circular)</t>
  </si>
  <si>
    <t>Focalisation</t>
  </si>
  <si>
    <t>Lens focal (m)</t>
  </si>
  <si>
    <t>Jia</t>
  </si>
  <si>
    <t>ASS 253</t>
  </si>
  <si>
    <t>FeCuNbSiB</t>
  </si>
  <si>
    <t>Amorphous</t>
  </si>
  <si>
    <t>Focal plane</t>
  </si>
  <si>
    <t>?</t>
  </si>
  <si>
    <t>Birnbaum</t>
  </si>
  <si>
    <t>Si</t>
  </si>
  <si>
    <t>C.F.C.</t>
  </si>
  <si>
    <t>Possible with nu_coll=1e15.</t>
  </si>
  <si>
    <t>Bonse</t>
  </si>
  <si>
    <t>JAP 108 034903</t>
  </si>
  <si>
    <t>111</t>
  </si>
  <si>
    <t>Air</t>
  </si>
  <si>
    <t>Linear</t>
  </si>
  <si>
    <t>APA 74 19</t>
  </si>
  <si>
    <t>JAP 106 104910</t>
  </si>
  <si>
    <t>Borowiec</t>
  </si>
  <si>
    <t>APL 82 25</t>
  </si>
  <si>
    <t>InP</t>
  </si>
  <si>
    <t>100</t>
  </si>
  <si>
    <t>Hommes</t>
  </si>
  <si>
    <t>ASS 252</t>
  </si>
  <si>
    <t>Daminelli</t>
  </si>
  <si>
    <t>TSFilms 467 334</t>
  </si>
  <si>
    <t>Water</t>
  </si>
  <si>
    <t>Crawford</t>
  </si>
  <si>
    <t>ASS 253 4970</t>
  </si>
  <si>
    <t>Vacuum</t>
  </si>
  <si>
    <t>Ihlemann</t>
  </si>
  <si>
    <t>APA 54</t>
  </si>
  <si>
    <t>Fused Si</t>
  </si>
  <si>
    <t>tetrahedric</t>
  </si>
  <si>
    <t>Martsinovkii</t>
  </si>
  <si>
    <t>Optics and Spectro 105 (10</t>
  </si>
  <si>
    <t>Matsumura</t>
  </si>
  <si>
    <t>APA 81 1393</t>
  </si>
  <si>
    <t>Reif</t>
  </si>
  <si>
    <t>MSE B 134 114</t>
  </si>
  <si>
    <t>001</t>
  </si>
  <si>
    <t>Tan</t>
  </si>
  <si>
    <t>JMM 16 1</t>
  </si>
  <si>
    <t>Miyaji</t>
  </si>
  <si>
    <t>Optics Express 16</t>
  </si>
  <si>
    <t>DLC</t>
  </si>
  <si>
    <t>cubic</t>
  </si>
  <si>
    <t>Ozkan</t>
  </si>
  <si>
    <t>APL 75 23</t>
  </si>
  <si>
    <t>Diamond</t>
  </si>
  <si>
    <t>Diamond PC</t>
  </si>
  <si>
    <t>Circular</t>
  </si>
  <si>
    <t>Semiconductors  43, 10</t>
  </si>
  <si>
    <t>Varlamova</t>
  </si>
  <si>
    <t>CaF2</t>
  </si>
  <si>
    <t>Right</t>
  </si>
  <si>
    <t>Left</t>
  </si>
  <si>
    <t>ASS 197</t>
  </si>
  <si>
    <t>BaF2</t>
  </si>
  <si>
    <t>Chakravarty</t>
  </si>
  <si>
    <t>JAP 109 084347</t>
  </si>
  <si>
    <t>GaP</t>
  </si>
  <si>
    <t>GaAs</t>
  </si>
  <si>
    <t>GaN</t>
  </si>
  <si>
    <t>SiC</t>
  </si>
  <si>
    <t>Seifert</t>
  </si>
  <si>
    <t>APA 81 4</t>
  </si>
  <si>
    <t>SiO2</t>
  </si>
  <si>
    <t>Costache</t>
  </si>
  <si>
    <t>APA 79 1429</t>
  </si>
  <si>
    <t>Budiman</t>
  </si>
  <si>
    <t>APA 98 849 </t>
  </si>
  <si>
    <t>c-SiO2</t>
  </si>
  <si>
    <t>APA 54 363</t>
  </si>
  <si>
    <t>JAP 97 013538</t>
  </si>
  <si>
    <t>Kovacevic</t>
  </si>
  <si>
    <t>ASS 326  91</t>
  </si>
  <si>
    <t>Al/Ti thin layers</t>
  </si>
  <si>
    <t>Al</t>
  </si>
  <si>
    <t>no data provided</t>
  </si>
  <si>
    <t>Kim</t>
  </si>
  <si>
    <t>APB 113 395</t>
  </si>
  <si>
    <t>6H-SiC</t>
  </si>
  <si>
    <t>normal atmospheric pressure and room temperature</t>
  </si>
  <si>
    <t>LIPSS</t>
  </si>
  <si>
    <t>Tomita</t>
  </si>
  <si>
    <t>APL 90 153115</t>
  </si>
  <si>
    <t>4H-SiC</t>
  </si>
  <si>
    <t>not able to measure too much pixellated picture</t>
  </si>
  <si>
    <t>paper value</t>
  </si>
  <si>
    <t>15mW</t>
  </si>
  <si>
    <t>Khuat</t>
  </si>
  <si>
    <t>Optical Letters 40 2</t>
  </si>
  <si>
    <t>0,1 - 1,0</t>
  </si>
  <si>
    <t>InAs</t>
  </si>
  <si>
    <t>linear</t>
  </si>
  <si>
    <t>ZnSe</t>
  </si>
  <si>
    <t>LIPSS (first scanning)</t>
  </si>
  <si>
    <t>Barmina</t>
  </si>
  <si>
    <t>PhysWavePhenom vol22 no1 page15</t>
  </si>
  <si>
    <t>3H-SiC</t>
  </si>
  <si>
    <t>Grooves (second scanning)</t>
  </si>
  <si>
    <t>110 x 130</t>
  </si>
  <si>
    <t>Zhao</t>
  </si>
  <si>
    <t>APL 91 121107</t>
  </si>
  <si>
    <t>1 kHz</t>
  </si>
  <si>
    <t>coarse</t>
  </si>
  <si>
    <t>Okada</t>
  </si>
  <si>
    <t>Appl Phys A 92: 665</t>
  </si>
  <si>
    <t>50 Hz</t>
  </si>
  <si>
    <t>fine</t>
  </si>
  <si>
    <t>Fluence (J/cm2)</t>
  </si>
  <si>
    <t>Period normalisée</t>
  </si>
  <si>
    <t>Period (nm)</t>
  </si>
  <si>
    <t>Error / 2</t>
  </si>
  <si>
    <t>Error relative</t>
  </si>
  <si>
    <t>Error relative /2</t>
  </si>
  <si>
    <t>Lambda nm</t>
  </si>
  <si>
    <t>tau</t>
  </si>
  <si>
    <t>tau (ps)</t>
  </si>
  <si>
    <t>Atm</t>
  </si>
  <si>
    <t>Spot type</t>
  </si>
  <si>
    <t>Spot size (m)</t>
  </si>
  <si>
    <t>Spot (µm)</t>
  </si>
  <si>
    <t>Incidence angle</t>
  </si>
  <si>
    <t>Single power (W/cm²)</t>
  </si>
  <si>
    <t>Total intensity (W/cm²)</t>
  </si>
  <si>
    <t>Total energy (J/cm²)</t>
  </si>
  <si>
    <t>Normalized period</t>
  </si>
  <si>
    <t>Dist min</t>
  </si>
  <si>
    <t>Dist max</t>
  </si>
  <si>
    <t>Periods</t>
  </si>
  <si>
    <t>Dist Min</t>
  </si>
  <si>
    <t>Dist Max</t>
  </si>
  <si>
    <t>Description</t>
  </si>
  <si>
    <t>Chemin d'accès réseau LP3</t>
  </si>
  <si>
    <t>Material</t>
  </si>
  <si>
    <t>Orientation</t>
  </si>
  <si>
    <t>Date</t>
  </si>
  <si>
    <t>Period normalisee</t>
  </si>
  <si>
    <t>Tophat</t>
  </si>
  <si>
    <t>sp</t>
  </si>
  <si>
    <t>Ripples one shot</t>
  </si>
  <si>
    <t>\\MEB-JEOL\chloé\ripples à 1 tir\16 juin 2010</t>
  </si>
  <si>
    <t>\\MEB-JEOL\Rémi\</t>
  </si>
  <si>
    <t>Vaccuum</t>
  </si>
  <si>
    <t>\\MEB-JEOL\Rémi\Pockels 2</t>
  </si>
  <si>
    <t>Echantillon B coupes TEM Torres</t>
  </si>
  <si>
    <t>Local</t>
  </si>
  <si>
    <t>Chloé\AFM\11juin</t>
  </si>
  <si>
    <t>11/06.2010</t>
  </si>
  <si>
    <t>Test taille spot plasmon Chloé</t>
  </si>
  <si>
    <t>\\MEB-JEOL\chloé\onde plasmon ou pas</t>
  </si>
  <si>
    <t>\\MEB-JEOL\Rémi\Pockels 3\F850</t>
  </si>
  <si>
    <t>Single shot 3</t>
  </si>
  <si>
    <t>\\MEB-JEOL\Rémi\Pockels 3\F200\Tilt 0</t>
  </si>
  <si>
    <t>\\MEB-JEOL\Rémi\Pockels 1</t>
  </si>
  <si>
    <t>REFAIRE</t>
  </si>
  <si>
    <t>Gaussian</t>
  </si>
  <si>
    <t>\\MEB-JEOL\chloé\onde plasmon ou pas\test pour masque plasmon\25 juin 2010</t>
  </si>
  <si>
    <t>Emeric</t>
  </si>
  <si>
    <t>Mo</t>
  </si>
  <si>
    <t>\\MEB-JEOL\stéphanie\endommagement silicium</t>
  </si>
  <si>
    <t>Maxime</t>
  </si>
  <si>
    <t>Informations ripples</t>
  </si>
  <si>
    <t>DIRECT SPACE MEASUREMENTS EXPERIMENTS</t>
  </si>
  <si>
    <t>Fluences</t>
  </si>
  <si>
    <t>Ripple Spacing</t>
  </si>
  <si>
    <t>Spacing err.</t>
  </si>
  <si>
    <t>nm</t>
  </si>
  <si>
    <t>error</t>
  </si>
  <si>
    <t>LFSL</t>
  </si>
  <si>
    <t>HFSL</t>
  </si>
  <si>
    <t>Fluence</t>
  </si>
  <si>
    <t>Average ripple spacing</t>
  </si>
  <si>
    <t>Spacing error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</si>
</sst>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E+00"/>
    <numFmt numFmtId="166" formatCode="0%"/>
    <numFmt numFmtId="167" formatCode="0.00"/>
    <numFmt numFmtId="168" formatCode="0.0%"/>
    <numFmt numFmtId="169" formatCode="0.000"/>
    <numFmt numFmtId="170" formatCode="0.00%"/>
    <numFmt numFmtId="171" formatCode="0.0"/>
    <numFmt numFmtId="172" formatCode="M/D/YYYY"/>
  </numFmts>
  <fonts count="2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A6A6A6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A6A6A6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b val="true"/>
      <sz val="11"/>
      <color rgb="FF000000"/>
      <name val="Calibri"/>
      <family val="2"/>
      <charset val="238"/>
    </font>
    <font>
      <sz val="11"/>
      <color rgb="FF808080"/>
      <name val="Calibri"/>
      <family val="2"/>
      <charset val="1"/>
    </font>
    <font>
      <u val="single"/>
      <sz val="7.7"/>
      <color rgb="FF0000FF"/>
      <name val="Calibri"/>
      <family val="2"/>
      <charset val="1"/>
    </font>
    <font>
      <u val="single"/>
      <sz val="7.7"/>
      <color rgb="FFFF0000"/>
      <name val="Calibri"/>
      <family val="2"/>
      <charset val="1"/>
    </font>
    <font>
      <sz val="10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Book Antiqua"/>
      <family val="1"/>
    </font>
    <font>
      <sz val="9"/>
      <color rgb="FF000000"/>
      <name val="Book Antiqua"/>
      <family val="1"/>
    </font>
    <font>
      <sz val="10.5"/>
      <color rgb="FF000000"/>
      <name val="Book Antiqua"/>
      <family val="1"/>
    </font>
    <font>
      <sz val="6"/>
      <color rgb="FF000000"/>
      <name val="Book Antiqua"/>
      <family val="1"/>
    </font>
    <font>
      <sz val="10.5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Book Antiqua"/>
      <family val="1"/>
    </font>
    <font>
      <sz val="2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A6A6A6"/>
      </patternFill>
    </fill>
    <fill>
      <patternFill patternType="solid">
        <fgColor rgb="FFFF0000"/>
        <bgColor rgb="FFC00000"/>
      </patternFill>
    </fill>
    <fill>
      <patternFill patternType="solid">
        <fgColor rgb="FFFFFFFF"/>
        <bgColor rgb="FFEEECE1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dxfs count="11"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  <dxf>
      <font>
        <sz val="11"/>
        <color rgb="FF9C0006"/>
        <name val="Calibri"/>
        <family val="2"/>
        <charset val="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EEECE1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"Littérature"</c:f>
              <c:strCache>
                <c:ptCount val="1"/>
                <c:pt idx="0">
                  <c:v>Littérature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'RipplesSpacing-Litteratur'!$S$6:$S$63</c:f>
                <c:numCache>
                  <c:formatCode>General</c:formatCode>
                  <c:ptCount val="58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7.85714285714286</c:v>
                  </c:pt>
                  <c:pt idx="4">
                    <c:v>5.39473684210526</c:v>
                  </c:pt>
                  <c:pt idx="5">
                    <c:v>3.81578947368421</c:v>
                  </c:pt>
                  <c:pt idx="6">
                    <c:v>25</c:v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>38.125</c:v>
                  </c:pt>
                  <c:pt idx="12">
                    <c:v>16.25</c:v>
                  </c:pt>
                  <c:pt idx="13">
                    <c:v>2.95454545454545</c:v>
                  </c:pt>
                  <c:pt idx="14">
                    <c:v>27.75</c:v>
                  </c:pt>
                  <c:pt idx="15">
                    <c:v/>
                  </c:pt>
                  <c:pt idx="16">
                    <c:v/>
                  </c:pt>
                  <c:pt idx="17">
                    <c:v>10</c:v>
                  </c:pt>
                  <c:pt idx="18">
                    <c:v>9.44444444444444</c:v>
                  </c:pt>
                  <c:pt idx="19">
                    <c:v>5</c:v>
                  </c:pt>
                  <c:pt idx="20">
                    <c:v/>
                  </c:pt>
                  <c:pt idx="21">
                    <c:v>4.15625</c:v>
                  </c:pt>
                  <c:pt idx="22">
                    <c:v>27.38</c:v>
                  </c:pt>
                  <c:pt idx="23">
                    <c:v>4.44444444444444</c:v>
                  </c:pt>
                  <c:pt idx="24">
                    <c:v>24.45</c:v>
                  </c:pt>
                  <c:pt idx="25">
                    <c:v>6.75</c:v>
                  </c:pt>
                  <c:pt idx="26">
                    <c:v>7.5</c:v>
                  </c:pt>
                  <c:pt idx="27">
                    <c:v>10</c:v>
                  </c:pt>
                  <c:pt idx="28">
                    <c:v>17.5</c:v>
                  </c:pt>
                  <c:pt idx="29">
                    <c:v/>
                  </c:pt>
                  <c:pt idx="30">
                    <c:v>17.5</c:v>
                  </c:pt>
                  <c:pt idx="31">
                    <c:v/>
                  </c:pt>
                  <c:pt idx="32">
                    <c:v/>
                  </c:pt>
                  <c:pt idx="33">
                    <c:v>27.5</c:v>
                  </c:pt>
                  <c:pt idx="34">
                    <c:v/>
                  </c:pt>
                  <c:pt idx="35">
                    <c:v/>
                  </c:pt>
                  <c:pt idx="36">
                    <c:v>32.1785714285714</c:v>
                  </c:pt>
                  <c:pt idx="37">
                    <c:v>14.1666666666667</c:v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/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>27.5</c:v>
                  </c:pt>
                  <c:pt idx="56">
                    <c:v>25</c:v>
                  </c:pt>
                  <c:pt idx="57">
                    <c:v>7.5</c:v>
                  </c:pt>
                </c:numCache>
              </c:numRef>
            </c:plus>
            <c:minus>
              <c:numRef>
                <c:f>'RipplesSpacing-Litteratur'!$S$6:$S$63</c:f>
                <c:numCache>
                  <c:formatCode>General</c:formatCode>
                  <c:ptCount val="58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7.85714285714286</c:v>
                  </c:pt>
                  <c:pt idx="4">
                    <c:v>5.39473684210526</c:v>
                  </c:pt>
                  <c:pt idx="5">
                    <c:v>3.81578947368421</c:v>
                  </c:pt>
                  <c:pt idx="6">
                    <c:v>25</c:v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>38.125</c:v>
                  </c:pt>
                  <c:pt idx="12">
                    <c:v>16.25</c:v>
                  </c:pt>
                  <c:pt idx="13">
                    <c:v>2.95454545454545</c:v>
                  </c:pt>
                  <c:pt idx="14">
                    <c:v>27.75</c:v>
                  </c:pt>
                  <c:pt idx="15">
                    <c:v/>
                  </c:pt>
                  <c:pt idx="16">
                    <c:v/>
                  </c:pt>
                  <c:pt idx="17">
                    <c:v>10</c:v>
                  </c:pt>
                  <c:pt idx="18">
                    <c:v>9.44444444444444</c:v>
                  </c:pt>
                  <c:pt idx="19">
                    <c:v>5</c:v>
                  </c:pt>
                  <c:pt idx="20">
                    <c:v/>
                  </c:pt>
                  <c:pt idx="21">
                    <c:v>4.15625</c:v>
                  </c:pt>
                  <c:pt idx="22">
                    <c:v>27.38</c:v>
                  </c:pt>
                  <c:pt idx="23">
                    <c:v>4.44444444444444</c:v>
                  </c:pt>
                  <c:pt idx="24">
                    <c:v>24.45</c:v>
                  </c:pt>
                  <c:pt idx="25">
                    <c:v>6.75</c:v>
                  </c:pt>
                  <c:pt idx="26">
                    <c:v>7.5</c:v>
                  </c:pt>
                  <c:pt idx="27">
                    <c:v>10</c:v>
                  </c:pt>
                  <c:pt idx="28">
                    <c:v>17.5</c:v>
                  </c:pt>
                  <c:pt idx="29">
                    <c:v/>
                  </c:pt>
                  <c:pt idx="30">
                    <c:v>17.5</c:v>
                  </c:pt>
                  <c:pt idx="31">
                    <c:v/>
                  </c:pt>
                  <c:pt idx="32">
                    <c:v/>
                  </c:pt>
                  <c:pt idx="33">
                    <c:v>27.5</c:v>
                  </c:pt>
                  <c:pt idx="34">
                    <c:v/>
                  </c:pt>
                  <c:pt idx="35">
                    <c:v/>
                  </c:pt>
                  <c:pt idx="36">
                    <c:v>32.1785714285714</c:v>
                  </c:pt>
                  <c:pt idx="37">
                    <c:v>14.1666666666667</c:v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/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>27.5</c:v>
                  </c:pt>
                  <c:pt idx="56">
                    <c:v>25</c:v>
                  </c:pt>
                  <c:pt idx="57">
                    <c:v>7.5</c:v>
                  </c:pt>
                </c:numCache>
              </c:numRef>
            </c:minus>
          </c:errBars>
          <c:xVal>
            <c:numRef>
              <c:f>'RipplesSpacing-Litteratur'!$I$2:$I$64</c:f>
              <c:numCache>
                <c:formatCode>General</c:formatCode>
                <c:ptCount val="63"/>
                <c:pt idx="0">
                  <c:v>775</c:v>
                </c:pt>
                <c:pt idx="1">
                  <c:v>694</c:v>
                </c:pt>
                <c:pt idx="2">
                  <c:v>775</c:v>
                </c:pt>
                <c:pt idx="3">
                  <c:v>775</c:v>
                </c:pt>
                <c:pt idx="4">
                  <c:v>800</c:v>
                </c:pt>
                <c:pt idx="5">
                  <c:v>800</c:v>
                </c:pt>
                <c:pt idx="6">
                  <c:v>780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2100</c:v>
                </c:pt>
                <c:pt idx="12">
                  <c:v>2100</c:v>
                </c:pt>
                <c:pt idx="13">
                  <c:v>1300</c:v>
                </c:pt>
                <c:pt idx="14">
                  <c:v>800</c:v>
                </c:pt>
                <c:pt idx="15">
                  <c:v>2100</c:v>
                </c:pt>
                <c:pt idx="16">
                  <c:v>795</c:v>
                </c:pt>
                <c:pt idx="17">
                  <c:v>795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795</c:v>
                </c:pt>
                <c:pt idx="23">
                  <c:v>1300</c:v>
                </c:pt>
                <c:pt idx="24">
                  <c:v>248</c:v>
                </c:pt>
                <c:pt idx="25">
                  <c:v>1250</c:v>
                </c:pt>
                <c:pt idx="26">
                  <c:v>800</c:v>
                </c:pt>
                <c:pt idx="27">
                  <c:v>780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775</c:v>
                </c:pt>
                <c:pt idx="32">
                  <c:v>775</c:v>
                </c:pt>
                <c:pt idx="33">
                  <c:v>800</c:v>
                </c:pt>
                <c:pt idx="34">
                  <c:v>775</c:v>
                </c:pt>
                <c:pt idx="35">
                  <c:v>248</c:v>
                </c:pt>
                <c:pt idx="36">
                  <c:v>248</c:v>
                </c:pt>
                <c:pt idx="37">
                  <c:v>775</c:v>
                </c:pt>
                <c:pt idx="38">
                  <c:v>800</c:v>
                </c:pt>
                <c:pt idx="39">
                  <c:v>800</c:v>
                </c:pt>
                <c:pt idx="40">
                  <c:v>1250</c:v>
                </c:pt>
                <c:pt idx="41">
                  <c:v>1250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400</c:v>
                </c:pt>
                <c:pt idx="58">
                  <c:v>400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</c:numCache>
            </c:numRef>
          </c:xVal>
          <c:yVal>
            <c:numRef>
              <c:f>'RipplesSpacing-Litteratur'!$E$2:$E$63</c:f>
              <c:numCache>
                <c:formatCode>General</c:formatCode>
                <c:ptCount val="62"/>
                <c:pt idx="0">
                  <c:v>665</c:v>
                </c:pt>
                <c:pt idx="1">
                  <c:v>2000</c:v>
                </c:pt>
                <c:pt idx="2">
                  <c:v>610</c:v>
                </c:pt>
                <c:pt idx="3">
                  <c:v>574</c:v>
                </c:pt>
                <c:pt idx="4">
                  <c:v>770</c:v>
                </c:pt>
                <c:pt idx="5">
                  <c:v>700</c:v>
                </c:pt>
                <c:pt idx="6">
                  <c:v>685.78125</c:v>
                </c:pt>
                <c:pt idx="7">
                  <c:v>714.761904761905</c:v>
                </c:pt>
                <c:pt idx="8">
                  <c:v>745.526315789474</c:v>
                </c:pt>
                <c:pt idx="9">
                  <c:v>747.105263157895</c:v>
                </c:pt>
                <c:pt idx="10">
                  <c:v>681</c:v>
                </c:pt>
                <c:pt idx="11">
                  <c:v>1600</c:v>
                </c:pt>
                <c:pt idx="12">
                  <c:v>430</c:v>
                </c:pt>
                <c:pt idx="13">
                  <c:v>1050</c:v>
                </c:pt>
                <c:pt idx="14">
                  <c:v>650</c:v>
                </c:pt>
                <c:pt idx="15">
                  <c:v>1738.75</c:v>
                </c:pt>
                <c:pt idx="16">
                  <c:v>550.833333333333</c:v>
                </c:pt>
                <c:pt idx="17">
                  <c:v>585.909090909091</c:v>
                </c:pt>
                <c:pt idx="18">
                  <c:v>595.5</c:v>
                </c:pt>
                <c:pt idx="19">
                  <c:v>157.068965517241</c:v>
                </c:pt>
                <c:pt idx="20">
                  <c:v>136.333333333333</c:v>
                </c:pt>
                <c:pt idx="21">
                  <c:v>590.769230769231</c:v>
                </c:pt>
                <c:pt idx="22">
                  <c:v>700</c:v>
                </c:pt>
                <c:pt idx="23">
                  <c:v>829.444444444444</c:v>
                </c:pt>
                <c:pt idx="24">
                  <c:v>772.5</c:v>
                </c:pt>
                <c:pt idx="25">
                  <c:v>307.625</c:v>
                </c:pt>
                <c:pt idx="26">
                  <c:v>575.56</c:v>
                </c:pt>
                <c:pt idx="27">
                  <c:v>561.111111111111</c:v>
                </c:pt>
                <c:pt idx="28">
                  <c:v>560.6</c:v>
                </c:pt>
                <c:pt idx="29">
                  <c:v>613.5</c:v>
                </c:pt>
                <c:pt idx="30">
                  <c:v>205</c:v>
                </c:pt>
                <c:pt idx="31">
                  <c:v>680</c:v>
                </c:pt>
                <c:pt idx="32">
                  <c:v>685</c:v>
                </c:pt>
                <c:pt idx="33">
                  <c:v>136</c:v>
                </c:pt>
                <c:pt idx="34">
                  <c:v>725</c:v>
                </c:pt>
                <c:pt idx="35">
                  <c:v>71</c:v>
                </c:pt>
                <c:pt idx="36">
                  <c:v>194.583333333333</c:v>
                </c:pt>
                <c:pt idx="37">
                  <c:v>725</c:v>
                </c:pt>
                <c:pt idx="38">
                  <c:v>121</c:v>
                </c:pt>
                <c:pt idx="39">
                  <c:v>178.5</c:v>
                </c:pt>
                <c:pt idx="40">
                  <c:v>1011.78571428571</c:v>
                </c:pt>
                <c:pt idx="41">
                  <c:v>1033.88888888889</c:v>
                </c:pt>
                <c:pt idx="42">
                  <c:v>200</c:v>
                </c:pt>
                <c:pt idx="43">
                  <c:v>230</c:v>
                </c:pt>
                <c:pt idx="44">
                  <c:v>326.428571428571</c:v>
                </c:pt>
                <c:pt idx="45">
                  <c:v>200</c:v>
                </c:pt>
                <c:pt idx="46">
                  <c:v>500</c:v>
                </c:pt>
                <c:pt idx="47">
                  <c:v>0</c:v>
                </c:pt>
                <c:pt idx="48">
                  <c:v>225</c:v>
                </c:pt>
                <c:pt idx="49">
                  <c:v>610</c:v>
                </c:pt>
                <c:pt idx="50">
                  <c:v>585</c:v>
                </c:pt>
                <c:pt idx="51">
                  <c:v>465</c:v>
                </c:pt>
                <c:pt idx="52">
                  <c:v>265</c:v>
                </c:pt>
                <c:pt idx="53">
                  <c:v>170</c:v>
                </c:pt>
                <c:pt idx="54">
                  <c:v>88.5</c:v>
                </c:pt>
                <c:pt idx="55">
                  <c:v>705</c:v>
                </c:pt>
                <c:pt idx="56">
                  <c:v>190</c:v>
                </c:pt>
                <c:pt idx="57">
                  <c:v>635</c:v>
                </c:pt>
                <c:pt idx="58">
                  <c:v>635</c:v>
                </c:pt>
                <c:pt idx="59">
                  <c:v>745</c:v>
                </c:pt>
                <c:pt idx="60">
                  <c:v>660</c:v>
                </c:pt>
                <c:pt idx="61">
                  <c:v>205</c:v>
                </c:pt>
              </c:numCache>
            </c:numRef>
          </c:yVal>
        </c:ser>
        <c:ser>
          <c:idx val="1"/>
          <c:order val="1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9"/>
          </c:marker>
          <c:errBars>
            <c:errDir val="y"/>
            <c:errBarType val="both"/>
            <c:errValType val="cust"/>
            <c:noEndCap val="0"/>
            <c:plus>
              <c:numRef>
                <c:f>'RipplesSpacing-LP3'!$F$2:$F$82</c:f>
                <c:numCache>
                  <c:formatCode>General</c:formatCode>
                  <c:ptCount val="81"/>
                  <c:pt idx="0">
                    <c:v>1.58333333333333E-008</c:v>
                  </c:pt>
                  <c:pt idx="1">
                    <c:v>2.4E-008</c:v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>1.80555555555556E-008</c:v>
                  </c:pt>
                  <c:pt idx="6">
                    <c:v>1.0625E-008</c:v>
                  </c:pt>
                  <c:pt idx="7">
                    <c:v>7.5E-009</c:v>
                  </c:pt>
                  <c:pt idx="8">
                    <c:v>4E-008</c:v>
                  </c:pt>
                  <c:pt idx="9">
                    <c:v>4.44444444444443E-009</c:v>
                  </c:pt>
                  <c:pt idx="10">
                    <c:v>1.75E-008</c:v>
                  </c:pt>
                  <c:pt idx="11">
                    <c:v>5E-009</c:v>
                  </c:pt>
                  <c:pt idx="12">
                    <c:v>9.44444444444445E-009</c:v>
                  </c:pt>
                  <c:pt idx="13">
                    <c:v>2.5625E-008</c:v>
                  </c:pt>
                  <c:pt idx="14">
                    <c:v>1.58333333333334E-008</c:v>
                  </c:pt>
                  <c:pt idx="15">
                    <c:v>2.4E-008</c:v>
                  </c:pt>
                  <c:pt idx="16">
                    <c:v>1.20833333333334E-008</c:v>
                  </c:pt>
                  <c:pt idx="17">
                    <c:v>3.65384615384615E-009</c:v>
                  </c:pt>
                  <c:pt idx="18">
                    <c:v>1.75E-008</c:v>
                  </c:pt>
                  <c:pt idx="19">
                    <c:v>8.99999999999998E-009</c:v>
                  </c:pt>
                  <c:pt idx="20">
                    <c:v>5.26315789473684E-009</c:v>
                  </c:pt>
                  <c:pt idx="21">
                    <c:v>2.6875E-008</c:v>
                  </c:pt>
                  <c:pt idx="22">
                    <c:v>8.92857142857143E-009</c:v>
                  </c:pt>
                  <c:pt idx="23">
                    <c:v>8.84615384615383E-009</c:v>
                  </c:pt>
                  <c:pt idx="24">
                    <c:v>6.6E-009</c:v>
                  </c:pt>
                  <c:pt idx="25">
                    <c:v>1.78571428571428E-008</c:v>
                  </c:pt>
                  <c:pt idx="26">
                    <c:v>4.68750000000001E-009</c:v>
                  </c:pt>
                  <c:pt idx="27">
                    <c:v>6.47058823529413E-009</c:v>
                  </c:pt>
                  <c:pt idx="28">
                    <c:v>7.14285714285713E-009</c:v>
                  </c:pt>
                  <c:pt idx="29">
                    <c:v>9.16666666666665E-009</c:v>
                  </c:pt>
                  <c:pt idx="30">
                    <c:v>1.625E-008</c:v>
                  </c:pt>
                  <c:pt idx="31">
                    <c:v>4.58333333333333E-009</c:v>
                  </c:pt>
                  <c:pt idx="32">
                    <c:v>1.6E-008</c:v>
                  </c:pt>
                  <c:pt idx="33">
                    <c:v>8.5E-009</c:v>
                  </c:pt>
                  <c:pt idx="34">
                    <c:v>9.06249999999999E-009</c:v>
                  </c:pt>
                  <c:pt idx="35">
                    <c:v>1.6E-008</c:v>
                  </c:pt>
                  <c:pt idx="36">
                    <c:v>5.27777777777777E-009</c:v>
                  </c:pt>
                  <c:pt idx="37">
                    <c:v>3.75E-008</c:v>
                  </c:pt>
                  <c:pt idx="38">
                    <c:v>9.49999999999999E-009</c:v>
                  </c:pt>
                  <c:pt idx="39">
                    <c:v>3.125E-009</c:v>
                  </c:pt>
                  <c:pt idx="40">
                    <c:v>3.3125E-008</c:v>
                  </c:pt>
                  <c:pt idx="41">
                    <c:v>1.5E-008</c:v>
                  </c:pt>
                  <c:pt idx="42">
                    <c:v>3.07692307692308E-008</c:v>
                  </c:pt>
                  <c:pt idx="43">
                    <c:v/>
                  </c:pt>
                  <c:pt idx="44">
                    <c:v>4.25E-008</c:v>
                  </c:pt>
                  <c:pt idx="45">
                    <c:v>6.66666666666665E-009</c:v>
                  </c:pt>
                  <c:pt idx="46">
                    <c:v>3.83333333333332E-009</c:v>
                  </c:pt>
                  <c:pt idx="47">
                    <c:v>8.40909090909091E-009</c:v>
                  </c:pt>
                  <c:pt idx="48">
                    <c:v>1.73076923076925E-009</c:v>
                  </c:pt>
                  <c:pt idx="49">
                    <c:v>6.94444444444445E-009</c:v>
                  </c:pt>
                  <c:pt idx="50">
                    <c:v>1.0625E-008</c:v>
                  </c:pt>
                  <c:pt idx="51">
                    <c:v>5E-008</c:v>
                  </c:pt>
                  <c:pt idx="52">
                    <c:v>2.29166666666667E-008</c:v>
                  </c:pt>
                  <c:pt idx="53">
                    <c:v>5.5E-008</c:v>
                  </c:pt>
                  <c:pt idx="54">
                    <c:v>1.25E-008</c:v>
                  </c:pt>
                  <c:pt idx="55">
                    <c:v/>
                  </c:pt>
                  <c:pt idx="56">
                    <c:v>3.83333333333334E-008</c:v>
                  </c:pt>
                  <c:pt idx="57">
                    <c:v>1.83333333333333E-008</c:v>
                  </c:pt>
                  <c:pt idx="58">
                    <c:v>1.75E-008</c:v>
                  </c:pt>
                  <c:pt idx="59">
                    <c:v>1.5E-008</c:v>
                  </c:pt>
                  <c:pt idx="60">
                    <c:v>5E-008</c:v>
                  </c:pt>
                  <c:pt idx="61">
                    <c:v>8.23529411764705E-009</c:v>
                  </c:pt>
                  <c:pt idx="62">
                    <c:v>8.52941176470588E-009</c:v>
                  </c:pt>
                  <c:pt idx="63">
                    <c:v>1.375E-008</c:v>
                  </c:pt>
                  <c:pt idx="64">
                    <c:v>9.79166666666664E-009</c:v>
                  </c:pt>
                  <c:pt idx="65">
                    <c:v>4.79166666666666E-009</c:v>
                  </c:pt>
                  <c:pt idx="66">
                    <c:v>4.375E-009</c:v>
                  </c:pt>
                  <c:pt idx="67">
                    <c:v>7.50000000000001E-009</c:v>
                  </c:pt>
                  <c:pt idx="68">
                    <c:v>3.33333333333335E-009</c:v>
                  </c:pt>
                  <c:pt idx="69">
                    <c:v>4.80769230769231E-009</c:v>
                  </c:pt>
                  <c:pt idx="70">
                    <c:v>2.20000000000001E-009</c:v>
                  </c:pt>
                  <c:pt idx="71">
                    <c:v>3.75E-008</c:v>
                  </c:pt>
                  <c:pt idx="72">
                    <c:v>4.82142857142856E-009</c:v>
                  </c:pt>
                  <c:pt idx="73">
                    <c:v>6.09999999999999E-009</c:v>
                  </c:pt>
                  <c:pt idx="74">
                    <c:v/>
                  </c:pt>
                  <c:pt idx="75">
                    <c:v>3.75E-008</c:v>
                  </c:pt>
                  <c:pt idx="76">
                    <c:v>1.21875E-008</c:v>
                  </c:pt>
                  <c:pt idx="77">
                    <c:v/>
                  </c:pt>
                  <c:pt idx="78">
                    <c:v>7.50000000000001E-009</c:v>
                  </c:pt>
                  <c:pt idx="79">
                    <c:v>6.5E-008</c:v>
                  </c:pt>
                  <c:pt idx="80">
                    <c:v>6.75E-008</c:v>
                  </c:pt>
                </c:numCache>
              </c:numRef>
            </c:plus>
            <c:minus>
              <c:numRef>
                <c:f>'RipplesSpacing-LP3'!$F$2:$F$82</c:f>
                <c:numCache>
                  <c:formatCode>General</c:formatCode>
                  <c:ptCount val="81"/>
                  <c:pt idx="0">
                    <c:v>1.58333333333333E-008</c:v>
                  </c:pt>
                  <c:pt idx="1">
                    <c:v>2.4E-008</c:v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>1.80555555555556E-008</c:v>
                  </c:pt>
                  <c:pt idx="6">
                    <c:v>1.0625E-008</c:v>
                  </c:pt>
                  <c:pt idx="7">
                    <c:v>7.5E-009</c:v>
                  </c:pt>
                  <c:pt idx="8">
                    <c:v>4E-008</c:v>
                  </c:pt>
                  <c:pt idx="9">
                    <c:v>4.44444444444443E-009</c:v>
                  </c:pt>
                  <c:pt idx="10">
                    <c:v>1.75E-008</c:v>
                  </c:pt>
                  <c:pt idx="11">
                    <c:v>5E-009</c:v>
                  </c:pt>
                  <c:pt idx="12">
                    <c:v>9.44444444444445E-009</c:v>
                  </c:pt>
                  <c:pt idx="13">
                    <c:v>2.5625E-008</c:v>
                  </c:pt>
                  <c:pt idx="14">
                    <c:v>1.58333333333334E-008</c:v>
                  </c:pt>
                  <c:pt idx="15">
                    <c:v>2.4E-008</c:v>
                  </c:pt>
                  <c:pt idx="16">
                    <c:v>1.20833333333334E-008</c:v>
                  </c:pt>
                  <c:pt idx="17">
                    <c:v>3.65384615384615E-009</c:v>
                  </c:pt>
                  <c:pt idx="18">
                    <c:v>1.75E-008</c:v>
                  </c:pt>
                  <c:pt idx="19">
                    <c:v>8.99999999999998E-009</c:v>
                  </c:pt>
                  <c:pt idx="20">
                    <c:v>5.26315789473684E-009</c:v>
                  </c:pt>
                  <c:pt idx="21">
                    <c:v>2.6875E-008</c:v>
                  </c:pt>
                  <c:pt idx="22">
                    <c:v>8.92857142857143E-009</c:v>
                  </c:pt>
                  <c:pt idx="23">
                    <c:v>8.84615384615383E-009</c:v>
                  </c:pt>
                  <c:pt idx="24">
                    <c:v>6.6E-009</c:v>
                  </c:pt>
                  <c:pt idx="25">
                    <c:v>1.78571428571428E-008</c:v>
                  </c:pt>
                  <c:pt idx="26">
                    <c:v>4.68750000000001E-009</c:v>
                  </c:pt>
                  <c:pt idx="27">
                    <c:v>6.47058823529413E-009</c:v>
                  </c:pt>
                  <c:pt idx="28">
                    <c:v>7.14285714285713E-009</c:v>
                  </c:pt>
                  <c:pt idx="29">
                    <c:v>9.16666666666665E-009</c:v>
                  </c:pt>
                  <c:pt idx="30">
                    <c:v>1.625E-008</c:v>
                  </c:pt>
                  <c:pt idx="31">
                    <c:v>4.58333333333333E-009</c:v>
                  </c:pt>
                  <c:pt idx="32">
                    <c:v>1.6E-008</c:v>
                  </c:pt>
                  <c:pt idx="33">
                    <c:v>8.5E-009</c:v>
                  </c:pt>
                  <c:pt idx="34">
                    <c:v>9.06249999999999E-009</c:v>
                  </c:pt>
                  <c:pt idx="35">
                    <c:v>1.6E-008</c:v>
                  </c:pt>
                  <c:pt idx="36">
                    <c:v>5.27777777777777E-009</c:v>
                  </c:pt>
                  <c:pt idx="37">
                    <c:v>3.75E-008</c:v>
                  </c:pt>
                  <c:pt idx="38">
                    <c:v>9.49999999999999E-009</c:v>
                  </c:pt>
                  <c:pt idx="39">
                    <c:v>3.125E-009</c:v>
                  </c:pt>
                  <c:pt idx="40">
                    <c:v>3.3125E-008</c:v>
                  </c:pt>
                  <c:pt idx="41">
                    <c:v>1.5E-008</c:v>
                  </c:pt>
                  <c:pt idx="42">
                    <c:v>3.07692307692308E-008</c:v>
                  </c:pt>
                  <c:pt idx="43">
                    <c:v/>
                  </c:pt>
                  <c:pt idx="44">
                    <c:v>4.25E-008</c:v>
                  </c:pt>
                  <c:pt idx="45">
                    <c:v>6.66666666666665E-009</c:v>
                  </c:pt>
                  <c:pt idx="46">
                    <c:v>3.83333333333332E-009</c:v>
                  </c:pt>
                  <c:pt idx="47">
                    <c:v>8.40909090909091E-009</c:v>
                  </c:pt>
                  <c:pt idx="48">
                    <c:v>1.73076923076925E-009</c:v>
                  </c:pt>
                  <c:pt idx="49">
                    <c:v>6.94444444444445E-009</c:v>
                  </c:pt>
                  <c:pt idx="50">
                    <c:v>1.0625E-008</c:v>
                  </c:pt>
                  <c:pt idx="51">
                    <c:v>5E-008</c:v>
                  </c:pt>
                  <c:pt idx="52">
                    <c:v>2.29166666666667E-008</c:v>
                  </c:pt>
                  <c:pt idx="53">
                    <c:v>5.5E-008</c:v>
                  </c:pt>
                  <c:pt idx="54">
                    <c:v>1.25E-008</c:v>
                  </c:pt>
                  <c:pt idx="55">
                    <c:v/>
                  </c:pt>
                  <c:pt idx="56">
                    <c:v>3.83333333333334E-008</c:v>
                  </c:pt>
                  <c:pt idx="57">
                    <c:v>1.83333333333333E-008</c:v>
                  </c:pt>
                  <c:pt idx="58">
                    <c:v>1.75E-008</c:v>
                  </c:pt>
                  <c:pt idx="59">
                    <c:v>1.5E-008</c:v>
                  </c:pt>
                  <c:pt idx="60">
                    <c:v>5E-008</c:v>
                  </c:pt>
                  <c:pt idx="61">
                    <c:v>8.23529411764705E-009</c:v>
                  </c:pt>
                  <c:pt idx="62">
                    <c:v>8.52941176470588E-009</c:v>
                  </c:pt>
                  <c:pt idx="63">
                    <c:v>1.375E-008</c:v>
                  </c:pt>
                  <c:pt idx="64">
                    <c:v>9.79166666666664E-009</c:v>
                  </c:pt>
                  <c:pt idx="65">
                    <c:v>4.79166666666666E-009</c:v>
                  </c:pt>
                  <c:pt idx="66">
                    <c:v>4.375E-009</c:v>
                  </c:pt>
                  <c:pt idx="67">
                    <c:v>7.50000000000001E-009</c:v>
                  </c:pt>
                  <c:pt idx="68">
                    <c:v>3.33333333333335E-009</c:v>
                  </c:pt>
                  <c:pt idx="69">
                    <c:v>4.80769230769231E-009</c:v>
                  </c:pt>
                  <c:pt idx="70">
                    <c:v>2.20000000000001E-009</c:v>
                  </c:pt>
                  <c:pt idx="71">
                    <c:v>3.75E-008</c:v>
                  </c:pt>
                  <c:pt idx="72">
                    <c:v>4.82142857142856E-009</c:v>
                  </c:pt>
                  <c:pt idx="73">
                    <c:v>6.09999999999999E-009</c:v>
                  </c:pt>
                  <c:pt idx="74">
                    <c:v/>
                  </c:pt>
                  <c:pt idx="75">
                    <c:v>3.75E-008</c:v>
                  </c:pt>
                  <c:pt idx="76">
                    <c:v>1.21875E-008</c:v>
                  </c:pt>
                  <c:pt idx="77">
                    <c:v/>
                  </c:pt>
                  <c:pt idx="78">
                    <c:v>7.50000000000001E-009</c:v>
                  </c:pt>
                  <c:pt idx="79">
                    <c:v>6.5E-008</c:v>
                  </c:pt>
                  <c:pt idx="80">
                    <c:v>6.75E-008</c:v>
                  </c:pt>
                </c:numCache>
              </c:numRef>
            </c:minus>
          </c:errBars>
          <c:xVal>
            <c:numRef>
              <c:f>'RipplesSpacing-LP3'!$J$2:$J$82</c:f>
              <c:numCache>
                <c:formatCode>General</c:formatCode>
                <c:ptCount val="7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1300</c:v>
                </c:pt>
                <c:pt idx="78">
                  <c:v>1300</c:v>
                </c:pt>
              </c:numCache>
            </c:numRef>
          </c:xVal>
          <c:yVal>
            <c:numRef>
              <c:f>'RipplesSpacing-LP3'!$C$2:$C$82</c:f>
              <c:numCache>
                <c:formatCode>General</c:formatCode>
                <c:ptCount val="79"/>
                <c:pt idx="0">
                  <c:v>806.666666666667</c:v>
                </c:pt>
                <c:pt idx="1">
                  <c:v>824</c:v>
                </c:pt>
                <c:pt idx="2">
                  <c:v>755.714285714286</c:v>
                </c:pt>
                <c:pt idx="3">
                  <c:v>703.75</c:v>
                </c:pt>
                <c:pt idx="4">
                  <c:v>755.555555555556</c:v>
                </c:pt>
                <c:pt idx="5">
                  <c:v>757.222222222222</c:v>
                </c:pt>
                <c:pt idx="6">
                  <c:v>727.916666666667</c:v>
                </c:pt>
                <c:pt idx="7">
                  <c:v>770.416666666667</c:v>
                </c:pt>
                <c:pt idx="8">
                  <c:v>720</c:v>
                </c:pt>
                <c:pt idx="9">
                  <c:v>792.222222222222</c:v>
                </c:pt>
                <c:pt idx="10">
                  <c:v>810</c:v>
                </c:pt>
                <c:pt idx="11">
                  <c:v>801.5</c:v>
                </c:pt>
                <c:pt idx="12">
                  <c:v>751.111111111111</c:v>
                </c:pt>
                <c:pt idx="13">
                  <c:v>703.75</c:v>
                </c:pt>
                <c:pt idx="14">
                  <c:v>848.333333333333</c:v>
                </c:pt>
                <c:pt idx="15">
                  <c:v>732</c:v>
                </c:pt>
                <c:pt idx="16">
                  <c:v>706.666666666667</c:v>
                </c:pt>
                <c:pt idx="17">
                  <c:v>785</c:v>
                </c:pt>
                <c:pt idx="18">
                  <c:v>733.75</c:v>
                </c:pt>
                <c:pt idx="19">
                  <c:v>750</c:v>
                </c:pt>
                <c:pt idx="20">
                  <c:v>755.78947368421</c:v>
                </c:pt>
                <c:pt idx="21">
                  <c:v>676.25</c:v>
                </c:pt>
                <c:pt idx="22">
                  <c:v>689.285714285714</c:v>
                </c:pt>
                <c:pt idx="23">
                  <c:v>763.846153846154</c:v>
                </c:pt>
                <c:pt idx="24">
                  <c:v>802</c:v>
                </c:pt>
                <c:pt idx="25">
                  <c:v>741.428571428571</c:v>
                </c:pt>
                <c:pt idx="26">
                  <c:v>795</c:v>
                </c:pt>
                <c:pt idx="27">
                  <c:v>752.352941176471</c:v>
                </c:pt>
                <c:pt idx="28">
                  <c:v>757.142857142857</c:v>
                </c:pt>
                <c:pt idx="29">
                  <c:v>734.166666666667</c:v>
                </c:pt>
                <c:pt idx="30">
                  <c:v>715</c:v>
                </c:pt>
                <c:pt idx="31">
                  <c:v>645.833333333333</c:v>
                </c:pt>
                <c:pt idx="32">
                  <c:v>792</c:v>
                </c:pt>
                <c:pt idx="33">
                  <c:v>822</c:v>
                </c:pt>
                <c:pt idx="34">
                  <c:v>800.625</c:v>
                </c:pt>
                <c:pt idx="35">
                  <c:v>781</c:v>
                </c:pt>
                <c:pt idx="36">
                  <c:v>723.888888888889</c:v>
                </c:pt>
                <c:pt idx="37">
                  <c:v>817</c:v>
                </c:pt>
                <c:pt idx="38">
                  <c:v>715</c:v>
                </c:pt>
                <c:pt idx="39">
                  <c:v>783.75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723.846153846154</c:v>
                </c:pt>
                <c:pt idx="43">
                  <c:v>735</c:v>
                </c:pt>
                <c:pt idx="44">
                  <c:v>736.666666666667</c:v>
                </c:pt>
                <c:pt idx="45">
                  <c:v>750.333333333333</c:v>
                </c:pt>
                <c:pt idx="46">
                  <c:v>745.909090909091</c:v>
                </c:pt>
                <c:pt idx="47">
                  <c:v>763.846153846154</c:v>
                </c:pt>
                <c:pt idx="48">
                  <c:v>795</c:v>
                </c:pt>
                <c:pt idx="49">
                  <c:v>804.583333333333</c:v>
                </c:pt>
                <c:pt idx="50">
                  <c:v>710</c:v>
                </c:pt>
                <c:pt idx="51">
                  <c:v>783.333333333333</c:v>
                </c:pt>
                <c:pt idx="52">
                  <c:v>740</c:v>
                </c:pt>
                <c:pt idx="53">
                  <c:v>699.285714285714</c:v>
                </c:pt>
                <c:pt idx="54">
                  <c:v>743.333333333333</c:v>
                </c:pt>
                <c:pt idx="55">
                  <c:v>725</c:v>
                </c:pt>
                <c:pt idx="56">
                  <c:v>703.333333333333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755.294117647059</c:v>
                </c:pt>
                <c:pt idx="60">
                  <c:v>740.588235294118</c:v>
                </c:pt>
                <c:pt idx="61">
                  <c:v>748.5</c:v>
                </c:pt>
                <c:pt idx="62">
                  <c:v>737.916666666667</c:v>
                </c:pt>
                <c:pt idx="63">
                  <c:v>682.5</c:v>
                </c:pt>
                <c:pt idx="64">
                  <c:v>738.25</c:v>
                </c:pt>
                <c:pt idx="65">
                  <c:v>715</c:v>
                </c:pt>
                <c:pt idx="66">
                  <c:v>727.222222222222</c:v>
                </c:pt>
                <c:pt idx="67">
                  <c:v>695</c:v>
                </c:pt>
                <c:pt idx="68">
                  <c:v>712.4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  <c:pt idx="72">
                  <c:v>601.538461538462</c:v>
                </c:pt>
                <c:pt idx="73">
                  <c:v>665</c:v>
                </c:pt>
                <c:pt idx="74">
                  <c:v>548.125</c:v>
                </c:pt>
                <c:pt idx="75">
                  <c:v>574.75</c:v>
                </c:pt>
                <c:pt idx="76">
                  <c:v>695</c:v>
                </c:pt>
                <c:pt idx="77">
                  <c:v>695</c:v>
                </c:pt>
                <c:pt idx="78">
                  <c:v>825</c:v>
                </c:pt>
              </c:numCache>
            </c:numRef>
          </c:yVal>
        </c:ser>
        <c:axId val="47934386"/>
        <c:axId val="31018940"/>
      </c:scatterChart>
      <c:valAx>
        <c:axId val="47934386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1018940"/>
        <c:crossesAt val="0"/>
      </c:valAx>
      <c:valAx>
        <c:axId val="31018940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7934386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errBars>
            <c:errDir val="y"/>
            <c:errBarType val="both"/>
            <c:errValType val="cust"/>
            <c:noEndCap val="0"/>
            <c:plus>
              <c:numRef>
                <c:f>'RipplesSpacing-LP3'!$H$2:$H$82</c:f>
                <c:numCache>
                  <c:formatCode>General</c:formatCode>
                  <c:ptCount val="81"/>
                  <c:pt idx="0">
                    <c:v>0.0196280991735537</c:v>
                  </c:pt>
                  <c:pt idx="1">
                    <c:v>0.029126213592233</c:v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>0.0238444607483492</c:v>
                  </c:pt>
                  <c:pt idx="6">
                    <c:v>0.0145964510589582</c:v>
                  </c:pt>
                  <c:pt idx="7">
                    <c:v>0.00973499188750676</c:v>
                  </c:pt>
                  <c:pt idx="8">
                    <c:v>0.0555555555555555</c:v>
                  </c:pt>
                  <c:pt idx="9">
                    <c:v>0.00561009817671807</c:v>
                  </c:pt>
                  <c:pt idx="10">
                    <c:v>0.0216049382716049</c:v>
                  </c:pt>
                  <c:pt idx="11">
                    <c:v>0.00623830318153462</c:v>
                  </c:pt>
                  <c:pt idx="12">
                    <c:v>0.0125739644970414</c:v>
                  </c:pt>
                  <c:pt idx="13">
                    <c:v>0.0364120781527531</c:v>
                  </c:pt>
                  <c:pt idx="14">
                    <c:v>0.018664047151277</c:v>
                  </c:pt>
                  <c:pt idx="15">
                    <c:v>0.0327868852459016</c:v>
                  </c:pt>
                  <c:pt idx="16">
                    <c:v>0.0170990566037736</c:v>
                  </c:pt>
                  <c:pt idx="17">
                    <c:v>0.0046545810877021</c:v>
                  </c:pt>
                  <c:pt idx="18">
                    <c:v>0.0238500851788757</c:v>
                  </c:pt>
                  <c:pt idx="19">
                    <c:v>0.012</c:v>
                  </c:pt>
                  <c:pt idx="20">
                    <c:v>0.00696378830083565</c:v>
                  </c:pt>
                  <c:pt idx="21">
                    <c:v>0.0397412199630314</c:v>
                  </c:pt>
                  <c:pt idx="22">
                    <c:v>0.0129533678756477</c:v>
                  </c:pt>
                  <c:pt idx="23">
                    <c:v>0.0115810674723061</c:v>
                  </c:pt>
                  <c:pt idx="24">
                    <c:v>0.00822942643391522</c:v>
                  </c:pt>
                  <c:pt idx="25">
                    <c:v>0.0240847784200385</c:v>
                  </c:pt>
                  <c:pt idx="26">
                    <c:v>0.00589622641509435</c:v>
                  </c:pt>
                  <c:pt idx="27">
                    <c:v>0.00860046911649728</c:v>
                  </c:pt>
                  <c:pt idx="28">
                    <c:v>0.00943396226415093</c:v>
                  </c:pt>
                  <c:pt idx="29">
                    <c:v>0.0124858115777525</c:v>
                  </c:pt>
                  <c:pt idx="30">
                    <c:v>0.0227272727272727</c:v>
                  </c:pt>
                  <c:pt idx="31">
                    <c:v>0.00709677419354838</c:v>
                  </c:pt>
                  <c:pt idx="32">
                    <c:v>0.0202020202020202</c:v>
                  </c:pt>
                  <c:pt idx="33">
                    <c:v>0.0103406326034063</c:v>
                  </c:pt>
                  <c:pt idx="34">
                    <c:v>0.0113192818110851</c:v>
                  </c:pt>
                  <c:pt idx="35">
                    <c:v>0.0204865556978233</c:v>
                  </c:pt>
                  <c:pt idx="36">
                    <c:v>0.00729086722947045</c:v>
                  </c:pt>
                  <c:pt idx="37">
                    <c:v>0.0458996328029376</c:v>
                  </c:pt>
                  <c:pt idx="38">
                    <c:v>0.0132867132867133</c:v>
                  </c:pt>
                  <c:pt idx="39">
                    <c:v>0.00398724082934609</c:v>
                  </c:pt>
                  <c:pt idx="40">
                    <c:v>0.0400907715582451</c:v>
                  </c:pt>
                  <c:pt idx="41">
                    <c:v>0.01875</c:v>
                  </c:pt>
                  <c:pt idx="42">
                    <c:v>0.0425079702444208</c:v>
                  </c:pt>
                  <c:pt idx="43">
                    <c:v/>
                  </c:pt>
                  <c:pt idx="44">
                    <c:v>0.0578231292517007</c:v>
                  </c:pt>
                  <c:pt idx="45">
                    <c:v>0.00904977375565609</c:v>
                  </c:pt>
                  <c:pt idx="46">
                    <c:v>0.00510884051532651</c:v>
                  </c:pt>
                  <c:pt idx="47">
                    <c:v>0.0112736136502133</c:v>
                  </c:pt>
                  <c:pt idx="48">
                    <c:v>0.00226586102719035</c:v>
                  </c:pt>
                  <c:pt idx="49">
                    <c:v>0.00873515024458421</c:v>
                  </c:pt>
                  <c:pt idx="50">
                    <c:v>0.0132055929570171</c:v>
                  </c:pt>
                  <c:pt idx="51">
                    <c:v>0.0704225352112676</c:v>
                  </c:pt>
                  <c:pt idx="52">
                    <c:v>0.0292553191489362</c:v>
                  </c:pt>
                  <c:pt idx="53">
                    <c:v>0.0743243243243243</c:v>
                  </c:pt>
                  <c:pt idx="54">
                    <c:v>0.0178753830439224</c:v>
                  </c:pt>
                  <c:pt idx="55">
                    <c:v/>
                  </c:pt>
                  <c:pt idx="56">
                    <c:v>0.0515695067264574</c:v>
                  </c:pt>
                  <c:pt idx="57">
                    <c:v>0.0252873563218391</c:v>
                  </c:pt>
                  <c:pt idx="58">
                    <c:v>0.0248815165876777</c:v>
                  </c:pt>
                  <c:pt idx="59">
                    <c:v>0.0195121951219512</c:v>
                  </c:pt>
                  <c:pt idx="60">
                    <c:v>0.0699300699300699</c:v>
                  </c:pt>
                  <c:pt idx="61">
                    <c:v>0.0109034267912773</c:v>
                  </c:pt>
                  <c:pt idx="62">
                    <c:v>0.011517077045274</c:v>
                  </c:pt>
                  <c:pt idx="63">
                    <c:v>0.0183700734802939</c:v>
                  </c:pt>
                  <c:pt idx="64">
                    <c:v>0.0132693393562958</c:v>
                  </c:pt>
                  <c:pt idx="65">
                    <c:v>0.00702075702075701</c:v>
                  </c:pt>
                  <c:pt idx="66">
                    <c:v>0.00592617676938707</c:v>
                  </c:pt>
                  <c:pt idx="67">
                    <c:v>0.0104895104895105</c:v>
                  </c:pt>
                  <c:pt idx="68">
                    <c:v>0.00458365164247519</c:v>
                  </c:pt>
                  <c:pt idx="69">
                    <c:v>0.00691754288876591</c:v>
                  </c:pt>
                  <c:pt idx="70">
                    <c:v>0.00308815272318924</c:v>
                  </c:pt>
                  <c:pt idx="71">
                    <c:v>0.0555555555555556</c:v>
                  </c:pt>
                  <c:pt idx="72">
                    <c:v>0.00872656755009693</c:v>
                  </c:pt>
                  <c:pt idx="73">
                    <c:v>0.00872176150986559</c:v>
                  </c:pt>
                  <c:pt idx="74">
                    <c:v/>
                  </c:pt>
                  <c:pt idx="75">
                    <c:v>0.056390977443609</c:v>
                  </c:pt>
                  <c:pt idx="76">
                    <c:v>0.0222348916761688</c:v>
                  </c:pt>
                  <c:pt idx="77">
                    <c:v/>
                  </c:pt>
                  <c:pt idx="78">
                    <c:v>0.0107913669064748</c:v>
                  </c:pt>
                  <c:pt idx="79">
                    <c:v>0.0935251798561151</c:v>
                  </c:pt>
                  <c:pt idx="80">
                    <c:v>0.0818181818181818</c:v>
                  </c:pt>
                </c:numCache>
              </c:numRef>
            </c:plus>
            <c:minus>
              <c:numRef>
                <c:f>'RipplesSpacing-LP3'!$G$2:$G$82</c:f>
                <c:numCache>
                  <c:formatCode>General</c:formatCode>
                  <c:ptCount val="81"/>
                  <c:pt idx="0">
                    <c:v>0.0392561983471074</c:v>
                  </c:pt>
                  <c:pt idx="1">
                    <c:v>0.058252427184466</c:v>
                  </c:pt>
                  <c:pt idx="2">
                    <c:v>0.052930056710775</c:v>
                  </c:pt>
                  <c:pt idx="3">
                    <c:v>0.063943161634103</c:v>
                  </c:pt>
                  <c:pt idx="4">
                    <c:v>0.05</c:v>
                  </c:pt>
                  <c:pt idx="5">
                    <c:v>0.0476889214966985</c:v>
                  </c:pt>
                  <c:pt idx="6">
                    <c:v>0.0291929021179164</c:v>
                  </c:pt>
                  <c:pt idx="7">
                    <c:v>0.0194699837750135</c:v>
                  </c:pt>
                  <c:pt idx="8">
                    <c:v>0.111111111111111</c:v>
                  </c:pt>
                  <c:pt idx="9">
                    <c:v>0.0112201963534361</c:v>
                  </c:pt>
                  <c:pt idx="10">
                    <c:v>0.0432098765432099</c:v>
                  </c:pt>
                  <c:pt idx="11">
                    <c:v>0.0124766063630692</c:v>
                  </c:pt>
                  <c:pt idx="12">
                    <c:v>0.0251479289940828</c:v>
                  </c:pt>
                  <c:pt idx="13">
                    <c:v>0.0728241563055062</c:v>
                  </c:pt>
                  <c:pt idx="14">
                    <c:v>0.0373280943025541</c:v>
                  </c:pt>
                  <c:pt idx="15">
                    <c:v>0.0655737704918033</c:v>
                  </c:pt>
                  <c:pt idx="16">
                    <c:v>0.0341981132075472</c:v>
                  </c:pt>
                  <c:pt idx="17">
                    <c:v>0.00930916217540421</c:v>
                  </c:pt>
                  <c:pt idx="18">
                    <c:v>0.0477001703577513</c:v>
                  </c:pt>
                  <c:pt idx="19">
                    <c:v>0.0239999999999999</c:v>
                  </c:pt>
                  <c:pt idx="20">
                    <c:v>0.0139275766016713</c:v>
                  </c:pt>
                  <c:pt idx="21">
                    <c:v>0.0794824399260629</c:v>
                  </c:pt>
                  <c:pt idx="22">
                    <c:v>0.0259067357512954</c:v>
                  </c:pt>
                  <c:pt idx="23">
                    <c:v>0.0231621349446122</c:v>
                  </c:pt>
                  <c:pt idx="24">
                    <c:v>0.0164588528678304</c:v>
                  </c:pt>
                  <c:pt idx="25">
                    <c:v>0.048169556840077</c:v>
                  </c:pt>
                  <c:pt idx="26">
                    <c:v>0.0117924528301887</c:v>
                  </c:pt>
                  <c:pt idx="27">
                    <c:v>0.0172009382329946</c:v>
                  </c:pt>
                  <c:pt idx="28">
                    <c:v>0.0188679245283019</c:v>
                  </c:pt>
                  <c:pt idx="29">
                    <c:v>0.0249716231555051</c:v>
                  </c:pt>
                  <c:pt idx="30">
                    <c:v>0.0454545454545455</c:v>
                  </c:pt>
                  <c:pt idx="31">
                    <c:v>0.0141935483870968</c:v>
                  </c:pt>
                  <c:pt idx="32">
                    <c:v>0.0404040404040405</c:v>
                  </c:pt>
                  <c:pt idx="33">
                    <c:v>0.0206812652068127</c:v>
                  </c:pt>
                  <c:pt idx="34">
                    <c:v>0.0226385636221702</c:v>
                  </c:pt>
                  <c:pt idx="35">
                    <c:v>0.0409731113956466</c:v>
                  </c:pt>
                  <c:pt idx="36">
                    <c:v>0.0145817344589409</c:v>
                  </c:pt>
                  <c:pt idx="37">
                    <c:v>0.0917992656058751</c:v>
                  </c:pt>
                  <c:pt idx="38">
                    <c:v>0.0265734265734266</c:v>
                  </c:pt>
                  <c:pt idx="39">
                    <c:v>0.00797448165869218</c:v>
                  </c:pt>
                  <c:pt idx="40">
                    <c:v>0.0801815431164902</c:v>
                  </c:pt>
                  <c:pt idx="41">
                    <c:v>0.0375</c:v>
                  </c:pt>
                  <c:pt idx="42">
                    <c:v>0.0850159404888417</c:v>
                  </c:pt>
                  <c:pt idx="43">
                    <c:v/>
                  </c:pt>
                  <c:pt idx="44">
                    <c:v>0.115646258503401</c:v>
                  </c:pt>
                  <c:pt idx="45">
                    <c:v>0.0180995475113122</c:v>
                  </c:pt>
                  <c:pt idx="46">
                    <c:v>0.010217681030653</c:v>
                  </c:pt>
                  <c:pt idx="47">
                    <c:v>0.0225472273004266</c:v>
                  </c:pt>
                  <c:pt idx="48">
                    <c:v>0.00453172205438071</c:v>
                  </c:pt>
                  <c:pt idx="49">
                    <c:v>0.0174703004891684</c:v>
                  </c:pt>
                  <c:pt idx="50">
                    <c:v>0.0264111859140342</c:v>
                  </c:pt>
                  <c:pt idx="51">
                    <c:v>0.140845070422535</c:v>
                  </c:pt>
                  <c:pt idx="52">
                    <c:v>0.0585106382978723</c:v>
                  </c:pt>
                  <c:pt idx="53">
                    <c:v>0.148648648648649</c:v>
                  </c:pt>
                  <c:pt idx="54">
                    <c:v>0.0357507660878447</c:v>
                  </c:pt>
                  <c:pt idx="55">
                    <c:v/>
                  </c:pt>
                  <c:pt idx="56">
                    <c:v>0.103139013452915</c:v>
                  </c:pt>
                  <c:pt idx="57">
                    <c:v>0.0505747126436782</c:v>
                  </c:pt>
                  <c:pt idx="58">
                    <c:v>0.0497630331753555</c:v>
                  </c:pt>
                  <c:pt idx="59">
                    <c:v>0.0390243902439024</c:v>
                  </c:pt>
                  <c:pt idx="60">
                    <c:v>0.13986013986014</c:v>
                  </c:pt>
                  <c:pt idx="61">
                    <c:v>0.0218068535825545</c:v>
                  </c:pt>
                  <c:pt idx="62">
                    <c:v>0.023034154090548</c:v>
                  </c:pt>
                  <c:pt idx="63">
                    <c:v>0.0367401469605879</c:v>
                  </c:pt>
                  <c:pt idx="64">
                    <c:v>0.0265386787125917</c:v>
                  </c:pt>
                  <c:pt idx="65">
                    <c:v>0.014041514041514</c:v>
                  </c:pt>
                  <c:pt idx="66">
                    <c:v>0.0118523535387741</c:v>
                  </c:pt>
                  <c:pt idx="67">
                    <c:v>0.020979020979021</c:v>
                  </c:pt>
                  <c:pt idx="68">
                    <c:v>0.00916730328495038</c:v>
                  </c:pt>
                  <c:pt idx="69">
                    <c:v>0.0138350857775318</c:v>
                  </c:pt>
                  <c:pt idx="70">
                    <c:v>0.00617630544637847</c:v>
                  </c:pt>
                  <c:pt idx="71">
                    <c:v>0.111111111111111</c:v>
                  </c:pt>
                  <c:pt idx="72">
                    <c:v>0.0174531351001939</c:v>
                  </c:pt>
                  <c:pt idx="73">
                    <c:v>0.0174435230197312</c:v>
                  </c:pt>
                  <c:pt idx="74">
                    <c:v>0.020460358056266</c:v>
                  </c:pt>
                  <c:pt idx="75">
                    <c:v>0.112781954887218</c:v>
                  </c:pt>
                  <c:pt idx="76">
                    <c:v>0.0444697833523376</c:v>
                  </c:pt>
                  <c:pt idx="77">
                    <c:v>0.0134841235319704</c:v>
                  </c:pt>
                  <c:pt idx="78">
                    <c:v>0.0215827338129497</c:v>
                  </c:pt>
                  <c:pt idx="79">
                    <c:v>0.18705035971223</c:v>
                  </c:pt>
                  <c:pt idx="80">
                    <c:v>0.163636363636364</c:v>
                  </c:pt>
                </c:numCache>
              </c:numRef>
            </c:minus>
          </c:errBars>
          <c:xVal>
            <c:numRef>
              <c:f>'RipplesSpacing-LP3'!$I$2:$I$89</c:f>
              <c:numCache>
                <c:formatCode>General</c:formatCode>
                <c:ptCount val="8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20</c:v>
                </c:pt>
                <c:pt idx="65">
                  <c:v>20</c:v>
                </c:pt>
                <c:pt idx="66">
                  <c:v>30</c:v>
                </c:pt>
                <c:pt idx="67">
                  <c:v>30</c:v>
                </c:pt>
                <c:pt idx="68">
                  <c:v>40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85</c:v>
                </c:pt>
                <c:pt idx="73">
                  <c:v>100</c:v>
                </c:pt>
                <c:pt idx="74">
                  <c:v>100</c:v>
                </c:pt>
                <c:pt idx="75">
                  <c:v>150</c:v>
                </c:pt>
                <c:pt idx="76">
                  <c:v>1000</c:v>
                </c:pt>
                <c:pt idx="77">
                  <c:v>20</c:v>
                </c:pt>
                <c:pt idx="78">
                  <c:v>20</c:v>
                </c:pt>
                <c:pt idx="79">
                  <c:v>200</c:v>
                </c:pt>
                <c:pt idx="80">
                  <c:v>400</c:v>
                </c:pt>
                <c:pt idx="81">
                  <c:v>500</c:v>
                </c:pt>
                <c:pt idx="82">
                  <c:v>800</c:v>
                </c:pt>
                <c:pt idx="83">
                  <c:v>200</c:v>
                </c:pt>
                <c:pt idx="84">
                  <c:v>300</c:v>
                </c:pt>
                <c:pt idx="85">
                  <c:v>400</c:v>
                </c:pt>
              </c:numCache>
            </c:numRef>
          </c:xVal>
          <c:yVal>
            <c:numRef>
              <c:f>'RipplesSpacing-LP3'!$B$2:$B$89</c:f>
              <c:numCache>
                <c:formatCode>General</c:formatCode>
                <c:ptCount val="86"/>
                <c:pt idx="0">
                  <c:v>1.00833333333333</c:v>
                </c:pt>
                <c:pt idx="1">
                  <c:v>1.03</c:v>
                </c:pt>
                <c:pt idx="2">
                  <c:v>0.944642857142857</c:v>
                </c:pt>
                <c:pt idx="3">
                  <c:v>0.8796875</c:v>
                </c:pt>
                <c:pt idx="4">
                  <c:v>0.944444444444444</c:v>
                </c:pt>
                <c:pt idx="5">
                  <c:v>0.946527777777778</c:v>
                </c:pt>
                <c:pt idx="6">
                  <c:v>0.909895833333333</c:v>
                </c:pt>
                <c:pt idx="7">
                  <c:v>0.963020833333333</c:v>
                </c:pt>
                <c:pt idx="8">
                  <c:v>0.9</c:v>
                </c:pt>
                <c:pt idx="9">
                  <c:v>0.990277777777778</c:v>
                </c:pt>
                <c:pt idx="10">
                  <c:v>1.0125</c:v>
                </c:pt>
                <c:pt idx="11">
                  <c:v>1.001875</c:v>
                </c:pt>
                <c:pt idx="12">
                  <c:v>0.938888888888889</c:v>
                </c:pt>
                <c:pt idx="13">
                  <c:v>0.8796875</c:v>
                </c:pt>
                <c:pt idx="14">
                  <c:v>1.06041666666667</c:v>
                </c:pt>
                <c:pt idx="15">
                  <c:v>0.915</c:v>
                </c:pt>
                <c:pt idx="16">
                  <c:v>0.883333333333333</c:v>
                </c:pt>
                <c:pt idx="17">
                  <c:v>0.98125</c:v>
                </c:pt>
                <c:pt idx="18">
                  <c:v>0.9171875</c:v>
                </c:pt>
                <c:pt idx="19">
                  <c:v>0.9375</c:v>
                </c:pt>
                <c:pt idx="20">
                  <c:v>0.944736842105263</c:v>
                </c:pt>
                <c:pt idx="21">
                  <c:v>0.8453125</c:v>
                </c:pt>
                <c:pt idx="22">
                  <c:v>0.861607142857143</c:v>
                </c:pt>
                <c:pt idx="23">
                  <c:v>0.954807692307692</c:v>
                </c:pt>
                <c:pt idx="24">
                  <c:v>1.0025</c:v>
                </c:pt>
                <c:pt idx="25">
                  <c:v>0.926785714285714</c:v>
                </c:pt>
                <c:pt idx="26">
                  <c:v>0.99375</c:v>
                </c:pt>
                <c:pt idx="27">
                  <c:v>0.940441176470588</c:v>
                </c:pt>
                <c:pt idx="28">
                  <c:v>0.946428571428571</c:v>
                </c:pt>
                <c:pt idx="29">
                  <c:v>0.917708333333333</c:v>
                </c:pt>
                <c:pt idx="30">
                  <c:v>0.89375</c:v>
                </c:pt>
                <c:pt idx="31">
                  <c:v>0.807291666666666</c:v>
                </c:pt>
                <c:pt idx="32">
                  <c:v>0.99</c:v>
                </c:pt>
                <c:pt idx="33">
                  <c:v>1.0275</c:v>
                </c:pt>
                <c:pt idx="34">
                  <c:v>1.00078125</c:v>
                </c:pt>
                <c:pt idx="35">
                  <c:v>0.97625</c:v>
                </c:pt>
                <c:pt idx="36">
                  <c:v>0.904861111111111</c:v>
                </c:pt>
                <c:pt idx="37">
                  <c:v>1.02125</c:v>
                </c:pt>
                <c:pt idx="38">
                  <c:v>0.89375</c:v>
                </c:pt>
                <c:pt idx="39">
                  <c:v>0.9796875</c:v>
                </c:pt>
                <c:pt idx="40">
                  <c:v>1.0328125</c:v>
                </c:pt>
                <c:pt idx="41">
                  <c:v>1</c:v>
                </c:pt>
                <c:pt idx="42">
                  <c:v>0.904807692307692</c:v>
                </c:pt>
                <c:pt idx="43">
                  <c:v>0.91875</c:v>
                </c:pt>
                <c:pt idx="44">
                  <c:v>0.920833333333333</c:v>
                </c:pt>
                <c:pt idx="45">
                  <c:v>0.937916666666667</c:v>
                </c:pt>
                <c:pt idx="46">
                  <c:v>0.932386363636364</c:v>
                </c:pt>
                <c:pt idx="47">
                  <c:v>0.954807692307692</c:v>
                </c:pt>
                <c:pt idx="48">
                  <c:v>0.99375</c:v>
                </c:pt>
                <c:pt idx="49">
                  <c:v>1.00572916666667</c:v>
                </c:pt>
                <c:pt idx="50">
                  <c:v>0.8875</c:v>
                </c:pt>
                <c:pt idx="51">
                  <c:v>0.979166666666666</c:v>
                </c:pt>
                <c:pt idx="52">
                  <c:v>0.925</c:v>
                </c:pt>
                <c:pt idx="53">
                  <c:v>0.874107142857143</c:v>
                </c:pt>
                <c:pt idx="54">
                  <c:v>0.929166666666667</c:v>
                </c:pt>
                <c:pt idx="55">
                  <c:v>0.90625</c:v>
                </c:pt>
                <c:pt idx="56">
                  <c:v>0.879166666666667</c:v>
                </c:pt>
                <c:pt idx="57">
                  <c:v>0.9609375</c:v>
                </c:pt>
                <c:pt idx="58">
                  <c:v>0.89375</c:v>
                </c:pt>
                <c:pt idx="59">
                  <c:v>0.944117647058823</c:v>
                </c:pt>
                <c:pt idx="60">
                  <c:v>0.925735294117647</c:v>
                </c:pt>
                <c:pt idx="61">
                  <c:v>0.935625</c:v>
                </c:pt>
                <c:pt idx="62">
                  <c:v>0.922395833333333</c:v>
                </c:pt>
                <c:pt idx="63">
                  <c:v>0.853125</c:v>
                </c:pt>
                <c:pt idx="64">
                  <c:v>0.9228125</c:v>
                </c:pt>
                <c:pt idx="65">
                  <c:v>0.89375</c:v>
                </c:pt>
                <c:pt idx="66">
                  <c:v>0.909027777777778</c:v>
                </c:pt>
                <c:pt idx="67">
                  <c:v>0.86875</c:v>
                </c:pt>
                <c:pt idx="68">
                  <c:v>0.8905</c:v>
                </c:pt>
                <c:pt idx="69">
                  <c:v>0.84375</c:v>
                </c:pt>
                <c:pt idx="70">
                  <c:v>0.690625</c:v>
                </c:pt>
                <c:pt idx="71">
                  <c:v>0.87425</c:v>
                </c:pt>
                <c:pt idx="72">
                  <c:v>0.751923076923077</c:v>
                </c:pt>
                <c:pt idx="73">
                  <c:v>0.83125</c:v>
                </c:pt>
                <c:pt idx="74">
                  <c:v>0.68515625</c:v>
                </c:pt>
                <c:pt idx="75">
                  <c:v>0.7184375</c:v>
                </c:pt>
                <c:pt idx="76">
                  <c:v>0.86875</c:v>
                </c:pt>
                <c:pt idx="77">
                  <c:v>0.534615384615385</c:v>
                </c:pt>
                <c:pt idx="78">
                  <c:v>0.634615384615385</c:v>
                </c:pt>
                <c:pt idx="79">
                  <c:v>0.775</c:v>
                </c:pt>
                <c:pt idx="80">
                  <c:v>0.775</c:v>
                </c:pt>
                <c:pt idx="81">
                  <c:v>0.8</c:v>
                </c:pt>
                <c:pt idx="82">
                  <c:v>0.75</c:v>
                </c:pt>
                <c:pt idx="83">
                  <c:v>0.75625</c:v>
                </c:pt>
                <c:pt idx="84">
                  <c:v>0.775</c:v>
                </c:pt>
                <c:pt idx="85">
                  <c:v>0.78125</c:v>
                </c:pt>
              </c:numCache>
            </c:numRef>
          </c:yVal>
        </c:ser>
        <c:ser>
          <c:idx val="1"/>
          <c:order val="1"/>
          <c:tx>
            <c:strRef>
              <c:f>"Littérature"</c:f>
              <c:strCache>
                <c:ptCount val="1"/>
                <c:pt idx="0">
                  <c:v>Littérature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errBars>
            <c:errDir val="y"/>
            <c:errBarType val="both"/>
            <c:errValType val="cust"/>
            <c:noEndCap val="0"/>
            <c:plus>
              <c:numRef>
                <c:f>'RipplesSpacing-Litteratur'!$U$6:$U$63</c:f>
                <c:numCache>
                  <c:formatCode>General</c:formatCode>
                  <c:ptCount val="58"/>
                  <c:pt idx="0">
                    <c:v>0.051948051948052</c:v>
                  </c:pt>
                  <c:pt idx="1">
                    <c:v>0.0714285714285714</c:v>
                  </c:pt>
                  <c:pt idx="2">
                    <c:v>0.0143540669856459</c:v>
                  </c:pt>
                  <c:pt idx="3">
                    <c:v>0.0219853431045969</c:v>
                  </c:pt>
                  <c:pt idx="4">
                    <c:v>0.014472290857748</c:v>
                  </c:pt>
                  <c:pt idx="5">
                    <c:v>0.0102148643888693</c:v>
                  </c:pt>
                  <c:pt idx="6">
                    <c:v>0.0734214390602056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0.0438533429187635</c:v>
                  </c:pt>
                  <c:pt idx="12">
                    <c:v>0.0590015128593041</c:v>
                  </c:pt>
                  <c:pt idx="13">
                    <c:v>0.0100853374709077</c:v>
                  </c:pt>
                  <c:pt idx="14">
                    <c:v>0.0931989924433249</c:v>
                  </c:pt>
                  <c:pt idx="15">
                    <c:v>0.0120746432491767</c:v>
                  </c:pt>
                  <c:pt idx="16">
                    <c:v>0.0097799511002445</c:v>
                  </c:pt>
                  <c:pt idx="17">
                    <c:v>0.0338541666666667</c:v>
                  </c:pt>
                  <c:pt idx="18">
                    <c:v>0.026984126984127</c:v>
                  </c:pt>
                  <c:pt idx="19">
                    <c:v>0.0120562625586068</c:v>
                  </c:pt>
                  <c:pt idx="20">
                    <c:v>0.00970873786407767</c:v>
                  </c:pt>
                  <c:pt idx="21">
                    <c:v>0.0270215359609915</c:v>
                  </c:pt>
                  <c:pt idx="22">
                    <c:v>0.095142122454653</c:v>
                  </c:pt>
                  <c:pt idx="23">
                    <c:v>0.0158415841584158</c:v>
                  </c:pt>
                  <c:pt idx="24">
                    <c:v>0.0872279700321085</c:v>
                  </c:pt>
                  <c:pt idx="25">
                    <c:v>0.0220048899755501</c:v>
                  </c:pt>
                  <c:pt idx="26">
                    <c:v>0.0731707317073171</c:v>
                  </c:pt>
                  <c:pt idx="27">
                    <c:v>0.0294117647058823</c:v>
                  </c:pt>
                  <c:pt idx="28">
                    <c:v>0.0510948905109489</c:v>
                  </c:pt>
                  <c:pt idx="29">
                    <c:v>0.071078431372549</c:v>
                  </c:pt>
                  <c:pt idx="30">
                    <c:v>0.0482758620689655</c:v>
                  </c:pt>
                  <c:pt idx="31">
                    <c:v>0.030729833546735</c:v>
                  </c:pt>
                  <c:pt idx="32">
                    <c:v>0.0458244111349036</c:v>
                  </c:pt>
                  <c:pt idx="33">
                    <c:v>0.0758620689655172</c:v>
                  </c:pt>
                  <c:pt idx="34">
                    <c:v>0.0578512396694215</c:v>
                  </c:pt>
                  <c:pt idx="35">
                    <c:v>0.0521008403361345</c:v>
                  </c:pt>
                  <c:pt idx="36">
                    <c:v>0.0636074832333216</c:v>
                  </c:pt>
                  <c:pt idx="37">
                    <c:v>0.0274046211714132</c:v>
                  </c:pt>
                  <c:pt idx="38">
                    <c:v>0</c:v>
                  </c:pt>
                  <c:pt idx="39">
                    <c:v>0</c:v>
                  </c:pt>
                  <c:pt idx="40">
                    <c:v>0.0074398249452954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0.0369127516778524</c:v>
                  </c:pt>
                  <c:pt idx="56">
                    <c:v>0.0378787878787879</c:v>
                  </c:pt>
                  <c:pt idx="57">
                    <c:v>0.0365853658536585</c:v>
                  </c:pt>
                </c:numCache>
              </c:numRef>
            </c:plus>
            <c:minus>
              <c:numRef>
                <c:f>'RipplesSpacing-Litteratur'!$U$6:$U$63</c:f>
                <c:numCache>
                  <c:formatCode>General</c:formatCode>
                  <c:ptCount val="58"/>
                  <c:pt idx="0">
                    <c:v>0.051948051948052</c:v>
                  </c:pt>
                  <c:pt idx="1">
                    <c:v>0.0714285714285714</c:v>
                  </c:pt>
                  <c:pt idx="2">
                    <c:v>0.0143540669856459</c:v>
                  </c:pt>
                  <c:pt idx="3">
                    <c:v>0.0219853431045969</c:v>
                  </c:pt>
                  <c:pt idx="4">
                    <c:v>0.014472290857748</c:v>
                  </c:pt>
                  <c:pt idx="5">
                    <c:v>0.0102148643888693</c:v>
                  </c:pt>
                  <c:pt idx="6">
                    <c:v>0.0734214390602056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0.0438533429187635</c:v>
                  </c:pt>
                  <c:pt idx="12">
                    <c:v>0.0590015128593041</c:v>
                  </c:pt>
                  <c:pt idx="13">
                    <c:v>0.0100853374709077</c:v>
                  </c:pt>
                  <c:pt idx="14">
                    <c:v>0.0931989924433249</c:v>
                  </c:pt>
                  <c:pt idx="15">
                    <c:v>0.0120746432491767</c:v>
                  </c:pt>
                  <c:pt idx="16">
                    <c:v>0.0097799511002445</c:v>
                  </c:pt>
                  <c:pt idx="17">
                    <c:v>0.0338541666666667</c:v>
                  </c:pt>
                  <c:pt idx="18">
                    <c:v>0.026984126984127</c:v>
                  </c:pt>
                  <c:pt idx="19">
                    <c:v>0.0120562625586068</c:v>
                  </c:pt>
                  <c:pt idx="20">
                    <c:v>0.00970873786407767</c:v>
                  </c:pt>
                  <c:pt idx="21">
                    <c:v>0.0270215359609915</c:v>
                  </c:pt>
                  <c:pt idx="22">
                    <c:v>0.095142122454653</c:v>
                  </c:pt>
                  <c:pt idx="23">
                    <c:v>0.0158415841584158</c:v>
                  </c:pt>
                  <c:pt idx="24">
                    <c:v>0.0872279700321085</c:v>
                  </c:pt>
                  <c:pt idx="25">
                    <c:v>0.0220048899755501</c:v>
                  </c:pt>
                  <c:pt idx="26">
                    <c:v>0.0731707317073171</c:v>
                  </c:pt>
                  <c:pt idx="27">
                    <c:v>0.0294117647058823</c:v>
                  </c:pt>
                  <c:pt idx="28">
                    <c:v>0.0510948905109489</c:v>
                  </c:pt>
                  <c:pt idx="29">
                    <c:v>0.071078431372549</c:v>
                  </c:pt>
                  <c:pt idx="30">
                    <c:v>0.0482758620689655</c:v>
                  </c:pt>
                  <c:pt idx="31">
                    <c:v>0.030729833546735</c:v>
                  </c:pt>
                  <c:pt idx="32">
                    <c:v>0.0458244111349036</c:v>
                  </c:pt>
                  <c:pt idx="33">
                    <c:v>0.0758620689655172</c:v>
                  </c:pt>
                  <c:pt idx="34">
                    <c:v>0.0578512396694215</c:v>
                  </c:pt>
                  <c:pt idx="35">
                    <c:v>0.0521008403361345</c:v>
                  </c:pt>
                  <c:pt idx="36">
                    <c:v>0.0636074832333216</c:v>
                  </c:pt>
                  <c:pt idx="37">
                    <c:v>0.0274046211714132</c:v>
                  </c:pt>
                  <c:pt idx="38">
                    <c:v>0</c:v>
                  </c:pt>
                  <c:pt idx="39">
                    <c:v>0</c:v>
                  </c:pt>
                  <c:pt idx="40">
                    <c:v>0.0074398249452954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0.0369127516778524</c:v>
                  </c:pt>
                  <c:pt idx="56">
                    <c:v>0.0378787878787879</c:v>
                  </c:pt>
                  <c:pt idx="57">
                    <c:v>0.0365853658536585</c:v>
                  </c:pt>
                </c:numCache>
              </c:numRef>
            </c:minus>
          </c:errBars>
          <c:xVal>
            <c:numRef>
              <c:f>'RipplesSpacing-Litteratur'!$N$2:$N$66</c:f>
              <c:numCache>
                <c:formatCode>General</c:formatCode>
                <c:ptCount val="65"/>
                <c:pt idx="0">
                  <c:v>10</c:v>
                </c:pt>
                <c:pt idx="1">
                  <c:v/>
                </c:pt>
                <c:pt idx="2">
                  <c:v>20</c:v>
                </c:pt>
                <c:pt idx="3">
                  <c:v>50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25</c:v>
                </c:pt>
                <c:pt idx="17">
                  <c:v>50</c:v>
                </c:pt>
                <c:pt idx="18">
                  <c:v>100</c:v>
                </c:pt>
                <c:pt idx="19">
                  <c:v>100</c:v>
                </c:pt>
                <c:pt idx="20">
                  <c:v>1000</c:v>
                </c:pt>
                <c:pt idx="21">
                  <c:v>100</c:v>
                </c:pt>
                <c:pt idx="22">
                  <c:v>100</c:v>
                </c:pt>
                <c:pt idx="23">
                  <c:v>200</c:v>
                </c:pt>
                <c:pt idx="24">
                  <c:v>70</c:v>
                </c:pt>
                <c:pt idx="25">
                  <c:v>300</c:v>
                </c:pt>
                <c:pt idx="26">
                  <c:v>500</c:v>
                </c:pt>
                <c:pt idx="27">
                  <c:v>500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500</c:v>
                </c:pt>
                <c:pt idx="34">
                  <c:v>1000</c:v>
                </c:pt>
                <c:pt idx="35">
                  <c:v>100</c:v>
                </c:pt>
                <c:pt idx="36">
                  <c:v>100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1200</c:v>
                </c:pt>
                <c:pt idx="41">
                  <c:v>1200</c:v>
                </c:pt>
                <c:pt idx="42">
                  <c:v>5000</c:v>
                </c:pt>
                <c:pt idx="43">
                  <c:v>5000</c:v>
                </c:pt>
                <c:pt idx="44">
                  <c:v>45000</c:v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>50</c:v>
                </c:pt>
                <c:pt idx="58">
                  <c:v>100</c:v>
                </c:pt>
                <c:pt idx="59">
                  <c:v>10000</c:v>
                </c:pt>
                <c:pt idx="60">
                  <c:v>20000</c:v>
                </c:pt>
                <c:pt idx="61">
                  <c:v>60000</c:v>
                </c:pt>
                <c:pt idx="62">
                  <c:v/>
                </c:pt>
                <c:pt idx="63">
                  <c:v>70</c:v>
                </c:pt>
                <c:pt idx="64">
                  <c:v>5</c:v>
                </c:pt>
              </c:numCache>
            </c:numRef>
          </c:xVal>
          <c:yVal>
            <c:numRef>
              <c:f>'RipplesSpacing-Litteratur'!$D$2:$D$66</c:f>
              <c:numCache>
                <c:formatCode>General</c:formatCode>
                <c:ptCount val="65"/>
                <c:pt idx="0">
                  <c:v>0.858064516129032</c:v>
                </c:pt>
                <c:pt idx="1">
                  <c:v>2.88184438040346</c:v>
                </c:pt>
                <c:pt idx="2">
                  <c:v>0.787096774193548</c:v>
                </c:pt>
                <c:pt idx="3">
                  <c:v>0.740645161290323</c:v>
                </c:pt>
                <c:pt idx="4">
                  <c:v>0.9625</c:v>
                </c:pt>
                <c:pt idx="5">
                  <c:v>0.875</c:v>
                </c:pt>
                <c:pt idx="6">
                  <c:v>0.879206730769231</c:v>
                </c:pt>
                <c:pt idx="7">
                  <c:v>0.893452380952381</c:v>
                </c:pt>
                <c:pt idx="8">
                  <c:v>0.931907894736842</c:v>
                </c:pt>
                <c:pt idx="9">
                  <c:v>0.933881578947368</c:v>
                </c:pt>
                <c:pt idx="10">
                  <c:v>0.85125</c:v>
                </c:pt>
                <c:pt idx="11">
                  <c:v>0.761904761904762</c:v>
                </c:pt>
                <c:pt idx="12">
                  <c:v>0.204761904761905</c:v>
                </c:pt>
                <c:pt idx="13">
                  <c:v>0.807692307692308</c:v>
                </c:pt>
                <c:pt idx="14">
                  <c:v>0.8125</c:v>
                </c:pt>
                <c:pt idx="15">
                  <c:v>0.82797619047619</c:v>
                </c:pt>
                <c:pt idx="16">
                  <c:v>0.692872117400419</c:v>
                </c:pt>
                <c:pt idx="17">
                  <c:v>0.736992567181246</c:v>
                </c:pt>
                <c:pt idx="18">
                  <c:v>0.744375</c:v>
                </c:pt>
                <c:pt idx="19">
                  <c:v>0.196336206896552</c:v>
                </c:pt>
                <c:pt idx="20">
                  <c:v>0.170416666666667</c:v>
                </c:pt>
                <c:pt idx="21">
                  <c:v>0.738461538461538</c:v>
                </c:pt>
                <c:pt idx="22">
                  <c:v>0.880503144654088</c:v>
                </c:pt>
                <c:pt idx="23">
                  <c:v>0.638034188034188</c:v>
                </c:pt>
                <c:pt idx="24">
                  <c:v>3.11491935483871</c:v>
                </c:pt>
                <c:pt idx="25">
                  <c:v>0.2461</c:v>
                </c:pt>
                <c:pt idx="26">
                  <c:v>0.71945</c:v>
                </c:pt>
                <c:pt idx="27">
                  <c:v>0.719373219373219</c:v>
                </c:pt>
                <c:pt idx="28">
                  <c:v>0.70075</c:v>
                </c:pt>
                <c:pt idx="29">
                  <c:v>0.766875</c:v>
                </c:pt>
                <c:pt idx="30">
                  <c:v>0.25625</c:v>
                </c:pt>
                <c:pt idx="31">
                  <c:v>0.87741935483871</c:v>
                </c:pt>
                <c:pt idx="32">
                  <c:v>0.883870967741935</c:v>
                </c:pt>
                <c:pt idx="33">
                  <c:v>0.17</c:v>
                </c:pt>
                <c:pt idx="34">
                  <c:v>0.935483870967742</c:v>
                </c:pt>
                <c:pt idx="35">
                  <c:v>0.286290322580645</c:v>
                </c:pt>
                <c:pt idx="36">
                  <c:v>0.784610215053764</c:v>
                </c:pt>
                <c:pt idx="37">
                  <c:v>0.935483870967742</c:v>
                </c:pt>
                <c:pt idx="38">
                  <c:v>0.15125</c:v>
                </c:pt>
                <c:pt idx="39">
                  <c:v>0.223125</c:v>
                </c:pt>
                <c:pt idx="40">
                  <c:v>0.809428571428571</c:v>
                </c:pt>
                <c:pt idx="41">
                  <c:v>0.827111111111111</c:v>
                </c:pt>
                <c:pt idx="42">
                  <c:v>0.25</c:v>
                </c:pt>
                <c:pt idx="43">
                  <c:v>0.2875</c:v>
                </c:pt>
                <c:pt idx="44">
                  <c:v>0.408035714285714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</c:v>
                </c:pt>
                <c:pt idx="50">
                  <c:v>0.73125</c:v>
                </c:pt>
                <c:pt idx="51">
                  <c:v>0.58125</c:v>
                </c:pt>
                <c:pt idx="52">
                  <c:v>0.33125</c:v>
                </c:pt>
                <c:pt idx="53">
                  <c:v>0.2125</c:v>
                </c:pt>
                <c:pt idx="54">
                  <c:v>0.110625</c:v>
                </c:pt>
                <c:pt idx="55">
                  <c:v>0.88125</c:v>
                </c:pt>
                <c:pt idx="56">
                  <c:v>0.2375</c:v>
                </c:pt>
                <c:pt idx="57">
                  <c:v>1.5875</c:v>
                </c:pt>
                <c:pt idx="58">
                  <c:v>1.5875</c:v>
                </c:pt>
                <c:pt idx="59">
                  <c:v>0.93125</c:v>
                </c:pt>
                <c:pt idx="60">
                  <c:v>0.825</c:v>
                </c:pt>
                <c:pt idx="61">
                  <c:v>0.25625</c:v>
                </c:pt>
                <c:pt idx="62">
                  <c:v/>
                </c:pt>
                <c:pt idx="63">
                  <c:v>3.06451612903226</c:v>
                </c:pt>
                <c:pt idx="64">
                  <c:v>0.19875</c:v>
                </c:pt>
              </c:numCache>
            </c:numRef>
          </c:yVal>
        </c:ser>
        <c:axId val="83916634"/>
        <c:axId val="70308547"/>
      </c:scatterChart>
      <c:valAx>
        <c:axId val="83916634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0308547"/>
        <c:crossesAt val="0"/>
      </c:valAx>
      <c:valAx>
        <c:axId val="70308547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83916634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'RipplesSpacing-LP3'!$H$2:$H$55</c:f>
                <c:numCache>
                  <c:formatCode>General</c:formatCode>
                  <c:ptCount val="54"/>
                  <c:pt idx="0">
                    <c:v>0.0196280991735537</c:v>
                  </c:pt>
                  <c:pt idx="1">
                    <c:v>0.029126213592233</c:v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>0.0238444607483492</c:v>
                  </c:pt>
                  <c:pt idx="6">
                    <c:v>0.0145964510589582</c:v>
                  </c:pt>
                  <c:pt idx="7">
                    <c:v>0.00973499188750676</c:v>
                  </c:pt>
                  <c:pt idx="8">
                    <c:v>0.0555555555555555</c:v>
                  </c:pt>
                  <c:pt idx="9">
                    <c:v>0.00561009817671807</c:v>
                  </c:pt>
                  <c:pt idx="10">
                    <c:v>0.0216049382716049</c:v>
                  </c:pt>
                  <c:pt idx="11">
                    <c:v>0.00623830318153462</c:v>
                  </c:pt>
                  <c:pt idx="12">
                    <c:v>0.0125739644970414</c:v>
                  </c:pt>
                  <c:pt idx="13">
                    <c:v>0.0364120781527531</c:v>
                  </c:pt>
                  <c:pt idx="14">
                    <c:v>0.018664047151277</c:v>
                  </c:pt>
                  <c:pt idx="15">
                    <c:v>0.0327868852459016</c:v>
                  </c:pt>
                  <c:pt idx="16">
                    <c:v>0.0170990566037736</c:v>
                  </c:pt>
                  <c:pt idx="17">
                    <c:v>0.0046545810877021</c:v>
                  </c:pt>
                  <c:pt idx="18">
                    <c:v>0.0238500851788757</c:v>
                  </c:pt>
                  <c:pt idx="19">
                    <c:v>0.012</c:v>
                  </c:pt>
                  <c:pt idx="20">
                    <c:v>0.00696378830083565</c:v>
                  </c:pt>
                  <c:pt idx="21">
                    <c:v>0.0397412199630314</c:v>
                  </c:pt>
                  <c:pt idx="22">
                    <c:v>0.0129533678756477</c:v>
                  </c:pt>
                  <c:pt idx="23">
                    <c:v>0.0115810674723061</c:v>
                  </c:pt>
                  <c:pt idx="24">
                    <c:v>0.00822942643391522</c:v>
                  </c:pt>
                  <c:pt idx="25">
                    <c:v>0.0240847784200385</c:v>
                  </c:pt>
                  <c:pt idx="26">
                    <c:v>0.00589622641509435</c:v>
                  </c:pt>
                  <c:pt idx="27">
                    <c:v>0.00860046911649728</c:v>
                  </c:pt>
                  <c:pt idx="28">
                    <c:v>0.00943396226415093</c:v>
                  </c:pt>
                  <c:pt idx="29">
                    <c:v>0.0124858115777525</c:v>
                  </c:pt>
                  <c:pt idx="30">
                    <c:v>0.0227272727272727</c:v>
                  </c:pt>
                  <c:pt idx="31">
                    <c:v>0.00709677419354838</c:v>
                  </c:pt>
                  <c:pt idx="32">
                    <c:v>0.0202020202020202</c:v>
                  </c:pt>
                  <c:pt idx="33">
                    <c:v>0.0103406326034063</c:v>
                  </c:pt>
                  <c:pt idx="34">
                    <c:v>0.0113192818110851</c:v>
                  </c:pt>
                  <c:pt idx="35">
                    <c:v>0.0204865556978233</c:v>
                  </c:pt>
                  <c:pt idx="36">
                    <c:v>0.00729086722947045</c:v>
                  </c:pt>
                  <c:pt idx="37">
                    <c:v>0.0458996328029376</c:v>
                  </c:pt>
                  <c:pt idx="38">
                    <c:v>0.0132867132867133</c:v>
                  </c:pt>
                  <c:pt idx="39">
                    <c:v>0.00398724082934609</c:v>
                  </c:pt>
                  <c:pt idx="40">
                    <c:v>0.0400907715582451</c:v>
                  </c:pt>
                  <c:pt idx="41">
                    <c:v>0.01875</c:v>
                  </c:pt>
                  <c:pt idx="42">
                    <c:v>0.0425079702444208</c:v>
                  </c:pt>
                  <c:pt idx="43">
                    <c:v/>
                  </c:pt>
                  <c:pt idx="44">
                    <c:v>0.0578231292517007</c:v>
                  </c:pt>
                  <c:pt idx="45">
                    <c:v>0.00904977375565609</c:v>
                  </c:pt>
                  <c:pt idx="46">
                    <c:v>0.00510884051532651</c:v>
                  </c:pt>
                  <c:pt idx="47">
                    <c:v>0.0112736136502133</c:v>
                  </c:pt>
                  <c:pt idx="48">
                    <c:v>0.00226586102719035</c:v>
                  </c:pt>
                  <c:pt idx="49">
                    <c:v>0.00873515024458421</c:v>
                  </c:pt>
                  <c:pt idx="50">
                    <c:v>0.0132055929570171</c:v>
                  </c:pt>
                  <c:pt idx="51">
                    <c:v>0.0704225352112676</c:v>
                  </c:pt>
                  <c:pt idx="52">
                    <c:v>0.0292553191489362</c:v>
                  </c:pt>
                  <c:pt idx="53">
                    <c:v>0.0743243243243243</c:v>
                  </c:pt>
                </c:numCache>
              </c:numRef>
            </c:plus>
            <c:minus>
              <c:numRef>
                <c:f>'RipplesSpacing-LP3'!$H$2:$H$55</c:f>
                <c:numCache>
                  <c:formatCode>General</c:formatCode>
                  <c:ptCount val="54"/>
                  <c:pt idx="0">
                    <c:v>0.0196280991735537</c:v>
                  </c:pt>
                  <c:pt idx="1">
                    <c:v>0.029126213592233</c:v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>0.0238444607483492</c:v>
                  </c:pt>
                  <c:pt idx="6">
                    <c:v>0.0145964510589582</c:v>
                  </c:pt>
                  <c:pt idx="7">
                    <c:v>0.00973499188750676</c:v>
                  </c:pt>
                  <c:pt idx="8">
                    <c:v>0.0555555555555555</c:v>
                  </c:pt>
                  <c:pt idx="9">
                    <c:v>0.00561009817671807</c:v>
                  </c:pt>
                  <c:pt idx="10">
                    <c:v>0.0216049382716049</c:v>
                  </c:pt>
                  <c:pt idx="11">
                    <c:v>0.00623830318153462</c:v>
                  </c:pt>
                  <c:pt idx="12">
                    <c:v>0.0125739644970414</c:v>
                  </c:pt>
                  <c:pt idx="13">
                    <c:v>0.0364120781527531</c:v>
                  </c:pt>
                  <c:pt idx="14">
                    <c:v>0.018664047151277</c:v>
                  </c:pt>
                  <c:pt idx="15">
                    <c:v>0.0327868852459016</c:v>
                  </c:pt>
                  <c:pt idx="16">
                    <c:v>0.0170990566037736</c:v>
                  </c:pt>
                  <c:pt idx="17">
                    <c:v>0.0046545810877021</c:v>
                  </c:pt>
                  <c:pt idx="18">
                    <c:v>0.0238500851788757</c:v>
                  </c:pt>
                  <c:pt idx="19">
                    <c:v>0.012</c:v>
                  </c:pt>
                  <c:pt idx="20">
                    <c:v>0.00696378830083565</c:v>
                  </c:pt>
                  <c:pt idx="21">
                    <c:v>0.0397412199630314</c:v>
                  </c:pt>
                  <c:pt idx="22">
                    <c:v>0.0129533678756477</c:v>
                  </c:pt>
                  <c:pt idx="23">
                    <c:v>0.0115810674723061</c:v>
                  </c:pt>
                  <c:pt idx="24">
                    <c:v>0.00822942643391522</c:v>
                  </c:pt>
                  <c:pt idx="25">
                    <c:v>0.0240847784200385</c:v>
                  </c:pt>
                  <c:pt idx="26">
                    <c:v>0.00589622641509435</c:v>
                  </c:pt>
                  <c:pt idx="27">
                    <c:v>0.00860046911649728</c:v>
                  </c:pt>
                  <c:pt idx="28">
                    <c:v>0.00943396226415093</c:v>
                  </c:pt>
                  <c:pt idx="29">
                    <c:v>0.0124858115777525</c:v>
                  </c:pt>
                  <c:pt idx="30">
                    <c:v>0.0227272727272727</c:v>
                  </c:pt>
                  <c:pt idx="31">
                    <c:v>0.00709677419354838</c:v>
                  </c:pt>
                  <c:pt idx="32">
                    <c:v>0.0202020202020202</c:v>
                  </c:pt>
                  <c:pt idx="33">
                    <c:v>0.0103406326034063</c:v>
                  </c:pt>
                  <c:pt idx="34">
                    <c:v>0.0113192818110851</c:v>
                  </c:pt>
                  <c:pt idx="35">
                    <c:v>0.0204865556978233</c:v>
                  </c:pt>
                  <c:pt idx="36">
                    <c:v>0.00729086722947045</c:v>
                  </c:pt>
                  <c:pt idx="37">
                    <c:v>0.0458996328029376</c:v>
                  </c:pt>
                  <c:pt idx="38">
                    <c:v>0.0132867132867133</c:v>
                  </c:pt>
                  <c:pt idx="39">
                    <c:v>0.00398724082934609</c:v>
                  </c:pt>
                  <c:pt idx="40">
                    <c:v>0.0400907715582451</c:v>
                  </c:pt>
                  <c:pt idx="41">
                    <c:v>0.01875</c:v>
                  </c:pt>
                  <c:pt idx="42">
                    <c:v>0.0425079702444208</c:v>
                  </c:pt>
                  <c:pt idx="43">
                    <c:v/>
                  </c:pt>
                  <c:pt idx="44">
                    <c:v>0.0578231292517007</c:v>
                  </c:pt>
                  <c:pt idx="45">
                    <c:v>0.00904977375565609</c:v>
                  </c:pt>
                  <c:pt idx="46">
                    <c:v>0.00510884051532651</c:v>
                  </c:pt>
                  <c:pt idx="47">
                    <c:v>0.0112736136502133</c:v>
                  </c:pt>
                  <c:pt idx="48">
                    <c:v>0.00226586102719035</c:v>
                  </c:pt>
                  <c:pt idx="49">
                    <c:v>0.00873515024458421</c:v>
                  </c:pt>
                  <c:pt idx="50">
                    <c:v>0.0132055929570171</c:v>
                  </c:pt>
                  <c:pt idx="51">
                    <c:v>0.0704225352112676</c:v>
                  </c:pt>
                  <c:pt idx="52">
                    <c:v>0.0292553191489362</c:v>
                  </c:pt>
                  <c:pt idx="53">
                    <c:v>0.0743243243243243</c:v>
                  </c:pt>
                </c:numCache>
              </c:numRef>
            </c:minus>
          </c:errBars>
          <c:xVal>
            <c:numRef>
              <c:f>'RipplesSpacing-LP3'!$A$2:$A$62</c:f>
              <c:numCache>
                <c:formatCode>General</c:formatCode>
                <c:ptCount val="59"/>
                <c:pt idx="0">
                  <c:v>1.15</c:v>
                </c:pt>
                <c:pt idx="1">
                  <c:v>1.2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0.8</c:v>
                </c:pt>
                <c:pt idx="6">
                  <c:v>0.1</c:v>
                </c:pt>
                <c:pt idx="7">
                  <c:v>0.2</c:v>
                </c:pt>
                <c:pt idx="8">
                  <c:v>0.313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0.85</c:v>
                </c:pt>
                <c:pt idx="18">
                  <c:v>0.1</c:v>
                </c:pt>
                <c:pt idx="19">
                  <c:v>0.2</c:v>
                </c:pt>
                <c:pt idx="20">
                  <c:v>0.2</c:v>
                </c:pt>
                <c:pt idx="21">
                  <c:v>0.288</c:v>
                </c:pt>
                <c:pt idx="22">
                  <c:v>0.313</c:v>
                </c:pt>
                <c:pt idx="23">
                  <c:v>0.5</c:v>
                </c:pt>
                <c:pt idx="24">
                  <c:v>0.5</c:v>
                </c:pt>
                <c:pt idx="25">
                  <c:v>0.8</c:v>
                </c:pt>
                <c:pt idx="26">
                  <c:v>0.85</c:v>
                </c:pt>
                <c:pt idx="27">
                  <c:v>0.1</c:v>
                </c:pt>
                <c:pt idx="28">
                  <c:v>0.2</c:v>
                </c:pt>
                <c:pt idx="29">
                  <c:v>0.2</c:v>
                </c:pt>
                <c:pt idx="30">
                  <c:v>0.288</c:v>
                </c:pt>
                <c:pt idx="31">
                  <c:v>0.313</c:v>
                </c:pt>
                <c:pt idx="32">
                  <c:v>0.5</c:v>
                </c:pt>
                <c:pt idx="33">
                  <c:v>0.8</c:v>
                </c:pt>
                <c:pt idx="34">
                  <c:v>0.85</c:v>
                </c:pt>
                <c:pt idx="35">
                  <c:v>0.1</c:v>
                </c:pt>
                <c:pt idx="36">
                  <c:v>0.2</c:v>
                </c:pt>
                <c:pt idx="37">
                  <c:v>0.2</c:v>
                </c:pt>
                <c:pt idx="38">
                  <c:v>0.288</c:v>
                </c:pt>
                <c:pt idx="39">
                  <c:v>0.313</c:v>
                </c:pt>
                <c:pt idx="40">
                  <c:v>0.5</c:v>
                </c:pt>
                <c:pt idx="41">
                  <c:v>0.85</c:v>
                </c:pt>
                <c:pt idx="42">
                  <c:v>0.1</c:v>
                </c:pt>
                <c:pt idx="43">
                  <c:v>0.2</c:v>
                </c:pt>
                <c:pt idx="44">
                  <c:v>0.288</c:v>
                </c:pt>
                <c:pt idx="45">
                  <c:v>0.313</c:v>
                </c:pt>
                <c:pt idx="46">
                  <c:v>0.1</c:v>
                </c:pt>
                <c:pt idx="47">
                  <c:v>0.2</c:v>
                </c:pt>
                <c:pt idx="48">
                  <c:v>0.313</c:v>
                </c:pt>
                <c:pt idx="49">
                  <c:v>0.1</c:v>
                </c:pt>
                <c:pt idx="50">
                  <c:v>0.2</c:v>
                </c:pt>
                <c:pt idx="51">
                  <c:v>0.1</c:v>
                </c:pt>
                <c:pt idx="52">
                  <c:v>0.2</c:v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</c:numCache>
            </c:numRef>
          </c:xVal>
          <c:yVal>
            <c:numRef>
              <c:f>'RipplesSpacing-LP3'!$W$2:$W$82</c:f>
              <c:numCache>
                <c:formatCode>General</c:formatCode>
                <c:ptCount val="79"/>
                <c:pt idx="0">
                  <c:v>1.00833333333333</c:v>
                </c:pt>
                <c:pt idx="1">
                  <c:v>1.03</c:v>
                </c:pt>
                <c:pt idx="2">
                  <c:v>0.944642857142857</c:v>
                </c:pt>
                <c:pt idx="3">
                  <c:v>0.8796875</c:v>
                </c:pt>
                <c:pt idx="4">
                  <c:v>0.944444444444444</c:v>
                </c:pt>
                <c:pt idx="5">
                  <c:v>0.946527777777778</c:v>
                </c:pt>
                <c:pt idx="6">
                  <c:v>0.909895833333333</c:v>
                </c:pt>
                <c:pt idx="7">
                  <c:v>0.963020833333334</c:v>
                </c:pt>
                <c:pt idx="8">
                  <c:v>0.775</c:v>
                </c:pt>
                <c:pt idx="9">
                  <c:v>0.990277777777778</c:v>
                </c:pt>
                <c:pt idx="10">
                  <c:v>1.0125</c:v>
                </c:pt>
                <c:pt idx="11">
                  <c:v>1.001875</c:v>
                </c:pt>
                <c:pt idx="12">
                  <c:v>0.938888888888889</c:v>
                </c:pt>
                <c:pt idx="13">
                  <c:v>0.8796875</c:v>
                </c:pt>
                <c:pt idx="14">
                  <c:v>1.06041666666667</c:v>
                </c:pt>
                <c:pt idx="15">
                  <c:v>0.915</c:v>
                </c:pt>
                <c:pt idx="16">
                  <c:v>0.883333333333333</c:v>
                </c:pt>
                <c:pt idx="17">
                  <c:v>0.98125</c:v>
                </c:pt>
                <c:pt idx="18">
                  <c:v>0.9171875</c:v>
                </c:pt>
                <c:pt idx="19">
                  <c:v>0.9375</c:v>
                </c:pt>
                <c:pt idx="20">
                  <c:v>0.944736842105263</c:v>
                </c:pt>
                <c:pt idx="21">
                  <c:v>0.8453125</c:v>
                </c:pt>
                <c:pt idx="22">
                  <c:v>0.861607142857143</c:v>
                </c:pt>
                <c:pt idx="23">
                  <c:v>0.954807692307692</c:v>
                </c:pt>
                <c:pt idx="24">
                  <c:v>1.0025</c:v>
                </c:pt>
                <c:pt idx="25">
                  <c:v>0.926785714285714</c:v>
                </c:pt>
                <c:pt idx="26">
                  <c:v>0.99375</c:v>
                </c:pt>
                <c:pt idx="27">
                  <c:v>0.940441176470588</c:v>
                </c:pt>
                <c:pt idx="28">
                  <c:v>0.946428571428572</c:v>
                </c:pt>
                <c:pt idx="29">
                  <c:v>0.917708333333333</c:v>
                </c:pt>
                <c:pt idx="30">
                  <c:v>0.89375</c:v>
                </c:pt>
                <c:pt idx="31">
                  <c:v>0.807291666666666</c:v>
                </c:pt>
                <c:pt idx="32">
                  <c:v>0.99</c:v>
                </c:pt>
                <c:pt idx="33">
                  <c:v>1.0275</c:v>
                </c:pt>
                <c:pt idx="34">
                  <c:v>1.00078125</c:v>
                </c:pt>
                <c:pt idx="35">
                  <c:v>0.97625</c:v>
                </c:pt>
                <c:pt idx="36">
                  <c:v>0.904861111111111</c:v>
                </c:pt>
                <c:pt idx="37">
                  <c:v>1.02125</c:v>
                </c:pt>
                <c:pt idx="38">
                  <c:v>0.89375</c:v>
                </c:pt>
                <c:pt idx="39">
                  <c:v>0.9796875</c:v>
                </c:pt>
                <c:pt idx="40">
                  <c:v>1.0328125</c:v>
                </c:pt>
                <c:pt idx="41">
                  <c:v>1</c:v>
                </c:pt>
                <c:pt idx="42">
                  <c:v>0.904807692307692</c:v>
                </c:pt>
                <c:pt idx="43">
                  <c:v>0.91875</c:v>
                </c:pt>
                <c:pt idx="44">
                  <c:v>0.920833333333333</c:v>
                </c:pt>
                <c:pt idx="45">
                  <c:v>0.937916666666667</c:v>
                </c:pt>
                <c:pt idx="46">
                  <c:v>0.932386363636364</c:v>
                </c:pt>
                <c:pt idx="47">
                  <c:v>0.954807692307692</c:v>
                </c:pt>
                <c:pt idx="48">
                  <c:v>0.99375</c:v>
                </c:pt>
                <c:pt idx="49">
                  <c:v>1.00572916666667</c:v>
                </c:pt>
                <c:pt idx="50">
                  <c:v>0.8875</c:v>
                </c:pt>
                <c:pt idx="51">
                  <c:v>0.979166666666667</c:v>
                </c:pt>
                <c:pt idx="52">
                  <c:v>0.925</c:v>
                </c:pt>
                <c:pt idx="53">
                  <c:v>0.874107142857143</c:v>
                </c:pt>
                <c:pt idx="54">
                  <c:v>0.929166666666667</c:v>
                </c:pt>
                <c:pt idx="55">
                  <c:v>0.90625</c:v>
                </c:pt>
                <c:pt idx="56">
                  <c:v>0.879166666666667</c:v>
                </c:pt>
                <c:pt idx="57">
                  <c:v>0.9609375</c:v>
                </c:pt>
                <c:pt idx="58">
                  <c:v>0.89375</c:v>
                </c:pt>
                <c:pt idx="59">
                  <c:v>0.944117647058824</c:v>
                </c:pt>
                <c:pt idx="60">
                  <c:v>0.925735294117647</c:v>
                </c:pt>
                <c:pt idx="61">
                  <c:v>0.935625</c:v>
                </c:pt>
                <c:pt idx="62">
                  <c:v>0.922395833333333</c:v>
                </c:pt>
                <c:pt idx="63">
                  <c:v>0.853125</c:v>
                </c:pt>
                <c:pt idx="64">
                  <c:v>0.9228125</c:v>
                </c:pt>
                <c:pt idx="65">
                  <c:v>0.728125</c:v>
                </c:pt>
                <c:pt idx="66">
                  <c:v>0.909027777777778</c:v>
                </c:pt>
                <c:pt idx="67">
                  <c:v>0.690865384615385</c:v>
                </c:pt>
                <c:pt idx="68">
                  <c:v>0.8905</c:v>
                </c:pt>
                <c:pt idx="69">
                  <c:v>0.84375</c:v>
                </c:pt>
                <c:pt idx="70">
                  <c:v>0.690625</c:v>
                </c:pt>
                <c:pt idx="71">
                  <c:v>0.87425</c:v>
                </c:pt>
                <c:pt idx="72">
                  <c:v>0.751923076923077</c:v>
                </c:pt>
                <c:pt idx="73">
                  <c:v>0.83125</c:v>
                </c:pt>
                <c:pt idx="74">
                  <c:v>0.68515625</c:v>
                </c:pt>
                <c:pt idx="75">
                  <c:v>0.7184375</c:v>
                </c:pt>
                <c:pt idx="76">
                  <c:v>0.86875</c:v>
                </c:pt>
                <c:pt idx="77">
                  <c:v>0.534615384615385</c:v>
                </c:pt>
                <c:pt idx="78">
                  <c:v>0.634615384615385</c:v>
                </c:pt>
              </c:numCache>
            </c:numRef>
          </c:yVal>
        </c:ser>
        <c:ser>
          <c:idx val="1"/>
          <c:order val="1"/>
          <c:tx>
            <c:strRef>
              <c:f>"Litterature"</c:f>
              <c:strCache>
                <c:ptCount val="1"/>
                <c:pt idx="0">
                  <c:v>Litterature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'RipplesSpacing-Litteratur'!$U$6:$U$12</c:f>
                <c:numCache>
                  <c:formatCode>General</c:formatCode>
                  <c:ptCount val="7"/>
                  <c:pt idx="0">
                    <c:v>0.051948051948052</c:v>
                  </c:pt>
                  <c:pt idx="1">
                    <c:v>0.0714285714285714</c:v>
                  </c:pt>
                  <c:pt idx="2">
                    <c:v>0.0143540669856459</c:v>
                  </c:pt>
                  <c:pt idx="3">
                    <c:v>0.0219853431045969</c:v>
                  </c:pt>
                  <c:pt idx="4">
                    <c:v>0.014472290857748</c:v>
                  </c:pt>
                  <c:pt idx="5">
                    <c:v>0.0102148643888693</c:v>
                  </c:pt>
                  <c:pt idx="6">
                    <c:v>0.0734214390602056</c:v>
                  </c:pt>
                </c:numCache>
              </c:numRef>
            </c:plus>
            <c:minus>
              <c:numRef>
                <c:f>'RipplesSpacing-Litteratur'!$U$6:$U$12</c:f>
                <c:numCache>
                  <c:formatCode>General</c:formatCode>
                  <c:ptCount val="7"/>
                  <c:pt idx="0">
                    <c:v>0.051948051948052</c:v>
                  </c:pt>
                  <c:pt idx="1">
                    <c:v>0.0714285714285714</c:v>
                  </c:pt>
                  <c:pt idx="2">
                    <c:v>0.0143540669856459</c:v>
                  </c:pt>
                  <c:pt idx="3">
                    <c:v>0.0219853431045969</c:v>
                  </c:pt>
                  <c:pt idx="4">
                    <c:v>0.014472290857748</c:v>
                  </c:pt>
                  <c:pt idx="5">
                    <c:v>0.0102148643888693</c:v>
                  </c:pt>
                  <c:pt idx="6">
                    <c:v>0.0734214390602056</c:v>
                  </c:pt>
                </c:numCache>
              </c:numRef>
            </c:minus>
          </c:errBars>
          <c:xVal>
            <c:numRef>
              <c:f>'RipplesSpacing-Litteratur'!$A$2:$A$66</c:f>
              <c:numCache>
                <c:formatCode>General</c:formatCode>
                <c:ptCount val="65"/>
                <c:pt idx="0">
                  <c:v>3.18</c:v>
                </c:pt>
                <c:pt idx="1">
                  <c:v/>
                </c:pt>
                <c:pt idx="2">
                  <c:v>3.18</c:v>
                </c:pt>
                <c:pt idx="3">
                  <c:v>6.36</c:v>
                </c:pt>
                <c:pt idx="4">
                  <c:v>3.8</c:v>
                </c:pt>
                <c:pt idx="5">
                  <c:v>0.42</c:v>
                </c:pt>
                <c:pt idx="6">
                  <c:v>2.5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/>
                </c:pt>
                <c:pt idx="12">
                  <c:v>0.582960873760116</c:v>
                </c:pt>
                <c:pt idx="13">
                  <c:v/>
                </c:pt>
                <c:pt idx="14">
                  <c:v/>
                </c:pt>
                <c:pt idx="15">
                  <c:v>0.582960873760116</c:v>
                </c:pt>
                <c:pt idx="16">
                  <c:v>6.5</c:v>
                </c:pt>
                <c:pt idx="17">
                  <c:v>6.5</c:v>
                </c:pt>
                <c:pt idx="18">
                  <c:v>0.42</c:v>
                </c:pt>
                <c:pt idx="19">
                  <c:v>1.6</c:v>
                </c:pt>
                <c:pt idx="20">
                  <c:v>1.5</c:v>
                </c:pt>
                <c:pt idx="21">
                  <c:v>0.2</c:v>
                </c:pt>
                <c:pt idx="22">
                  <c:v>6.5</c:v>
                </c:pt>
                <c:pt idx="23">
                  <c:v>0.2</c:v>
                </c:pt>
                <c:pt idx="24">
                  <c:v>8.2</c:v>
                </c:pt>
                <c:pt idx="25">
                  <c:v>1</c:v>
                </c:pt>
                <c:pt idx="26">
                  <c:v>0.42</c:v>
                </c:pt>
                <c:pt idx="27">
                  <c:v/>
                </c:pt>
                <c:pt idx="28">
                  <c:v>0.42</c:v>
                </c:pt>
                <c:pt idx="29">
                  <c:v>0.45</c:v>
                </c:pt>
                <c:pt idx="30">
                  <c:v>0.4</c:v>
                </c:pt>
                <c:pt idx="31">
                  <c:v>0.000453</c:v>
                </c:pt>
                <c:pt idx="32">
                  <c:v>0.000453</c:v>
                </c:pt>
                <c:pt idx="33">
                  <c:v>0.1</c:v>
                </c:pt>
                <c:pt idx="34">
                  <c:v>0.000453</c:v>
                </c:pt>
                <c:pt idx="35">
                  <c:v>1.5</c:v>
                </c:pt>
                <c:pt idx="36">
                  <c:v>1.5</c:v>
                </c:pt>
                <c:pt idx="37">
                  <c:v>0.000453</c:v>
                </c:pt>
                <c:pt idx="38">
                  <c:v>0.15</c:v>
                </c:pt>
                <c:pt idx="39">
                  <c:v>0.1</c:v>
                </c:pt>
                <c:pt idx="40">
                  <c:v>1</c:v>
                </c:pt>
                <c:pt idx="41">
                  <c:v>1</c:v>
                </c:pt>
                <c:pt idx="42">
                  <c:v>80</c:v>
                </c:pt>
                <c:pt idx="43">
                  <c:v>80</c:v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>1</c:v>
                </c:pt>
                <c:pt idx="48">
                  <c:v>0.1</c:v>
                </c:pt>
                <c:pt idx="49">
                  <c:v>1</c:v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>1</c:v>
                </c:pt>
                <c:pt idx="58">
                  <c:v/>
                </c:pt>
                <c:pt idx="59">
                  <c:v>0.192</c:v>
                </c:pt>
                <c:pt idx="60">
                  <c:v/>
                </c:pt>
                <c:pt idx="61">
                  <c:v>0.48</c:v>
                </c:pt>
                <c:pt idx="62">
                  <c:v/>
                </c:pt>
                <c:pt idx="63">
                  <c:v>8.2</c:v>
                </c:pt>
                <c:pt idx="64">
                  <c:v>0.24</c:v>
                </c:pt>
              </c:numCache>
            </c:numRef>
          </c:xVal>
          <c:yVal>
            <c:numRef>
              <c:f>'RipplesSpacing-Litteratur'!$D$2:$D$66</c:f>
              <c:numCache>
                <c:formatCode>General</c:formatCode>
                <c:ptCount val="65"/>
                <c:pt idx="0">
                  <c:v>0.858064516129032</c:v>
                </c:pt>
                <c:pt idx="1">
                  <c:v>2.88184438040346</c:v>
                </c:pt>
                <c:pt idx="2">
                  <c:v>0.787096774193548</c:v>
                </c:pt>
                <c:pt idx="3">
                  <c:v>0.740645161290323</c:v>
                </c:pt>
                <c:pt idx="4">
                  <c:v>0.9625</c:v>
                </c:pt>
                <c:pt idx="5">
                  <c:v>0.875</c:v>
                </c:pt>
                <c:pt idx="6">
                  <c:v>0.879206730769231</c:v>
                </c:pt>
                <c:pt idx="7">
                  <c:v>0.893452380952381</c:v>
                </c:pt>
                <c:pt idx="8">
                  <c:v>0.931907894736842</c:v>
                </c:pt>
                <c:pt idx="9">
                  <c:v>0.933881578947368</c:v>
                </c:pt>
                <c:pt idx="10">
                  <c:v>0.85125</c:v>
                </c:pt>
                <c:pt idx="11">
                  <c:v>0.761904761904762</c:v>
                </c:pt>
                <c:pt idx="12">
                  <c:v>0.204761904761905</c:v>
                </c:pt>
                <c:pt idx="13">
                  <c:v>0.807692307692308</c:v>
                </c:pt>
                <c:pt idx="14">
                  <c:v>0.8125</c:v>
                </c:pt>
                <c:pt idx="15">
                  <c:v>0.82797619047619</c:v>
                </c:pt>
                <c:pt idx="16">
                  <c:v>0.692872117400419</c:v>
                </c:pt>
                <c:pt idx="17">
                  <c:v>0.736992567181246</c:v>
                </c:pt>
                <c:pt idx="18">
                  <c:v>0.744375</c:v>
                </c:pt>
                <c:pt idx="19">
                  <c:v>0.196336206896552</c:v>
                </c:pt>
                <c:pt idx="20">
                  <c:v>0.170416666666667</c:v>
                </c:pt>
                <c:pt idx="21">
                  <c:v>0.738461538461538</c:v>
                </c:pt>
                <c:pt idx="22">
                  <c:v>0.880503144654088</c:v>
                </c:pt>
                <c:pt idx="23">
                  <c:v>0.638034188034188</c:v>
                </c:pt>
                <c:pt idx="24">
                  <c:v>3.11491935483871</c:v>
                </c:pt>
                <c:pt idx="25">
                  <c:v>0.2461</c:v>
                </c:pt>
                <c:pt idx="26">
                  <c:v>0.71945</c:v>
                </c:pt>
                <c:pt idx="27">
                  <c:v>0.719373219373219</c:v>
                </c:pt>
                <c:pt idx="28">
                  <c:v>0.70075</c:v>
                </c:pt>
                <c:pt idx="29">
                  <c:v>0.766875</c:v>
                </c:pt>
                <c:pt idx="30">
                  <c:v>0.25625</c:v>
                </c:pt>
                <c:pt idx="31">
                  <c:v>0.87741935483871</c:v>
                </c:pt>
                <c:pt idx="32">
                  <c:v>0.883870967741935</c:v>
                </c:pt>
                <c:pt idx="33">
                  <c:v>0.17</c:v>
                </c:pt>
                <c:pt idx="34">
                  <c:v>0.935483870967742</c:v>
                </c:pt>
                <c:pt idx="35">
                  <c:v>0.286290322580645</c:v>
                </c:pt>
                <c:pt idx="36">
                  <c:v>0.784610215053764</c:v>
                </c:pt>
                <c:pt idx="37">
                  <c:v>0.935483870967742</c:v>
                </c:pt>
                <c:pt idx="38">
                  <c:v>0.15125</c:v>
                </c:pt>
                <c:pt idx="39">
                  <c:v>0.223125</c:v>
                </c:pt>
                <c:pt idx="40">
                  <c:v>0.809428571428571</c:v>
                </c:pt>
                <c:pt idx="41">
                  <c:v>0.827111111111111</c:v>
                </c:pt>
                <c:pt idx="42">
                  <c:v>0.25</c:v>
                </c:pt>
                <c:pt idx="43">
                  <c:v>0.2875</c:v>
                </c:pt>
                <c:pt idx="44">
                  <c:v>0.408035714285714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</c:v>
                </c:pt>
                <c:pt idx="50">
                  <c:v>0.73125</c:v>
                </c:pt>
                <c:pt idx="51">
                  <c:v>0.58125</c:v>
                </c:pt>
                <c:pt idx="52">
                  <c:v>0.33125</c:v>
                </c:pt>
                <c:pt idx="53">
                  <c:v>0.2125</c:v>
                </c:pt>
                <c:pt idx="54">
                  <c:v>0.110625</c:v>
                </c:pt>
                <c:pt idx="55">
                  <c:v>0.88125</c:v>
                </c:pt>
                <c:pt idx="56">
                  <c:v>0.2375</c:v>
                </c:pt>
                <c:pt idx="57">
                  <c:v>1.5875</c:v>
                </c:pt>
                <c:pt idx="58">
                  <c:v>1.5875</c:v>
                </c:pt>
                <c:pt idx="59">
                  <c:v>0.93125</c:v>
                </c:pt>
                <c:pt idx="60">
                  <c:v>0.825</c:v>
                </c:pt>
                <c:pt idx="61">
                  <c:v>0.25625</c:v>
                </c:pt>
                <c:pt idx="62">
                  <c:v/>
                </c:pt>
                <c:pt idx="63">
                  <c:v>3.06451612903226</c:v>
                </c:pt>
                <c:pt idx="64">
                  <c:v>0.19875</c:v>
                </c:pt>
              </c:numCache>
            </c:numRef>
          </c:yVal>
        </c:ser>
        <c:axId val="87122278"/>
        <c:axId val="80576676"/>
      </c:scatterChart>
      <c:valAx>
        <c:axId val="87122278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80576676"/>
        <c:crossesAt val="0"/>
      </c:valAx>
      <c:valAx>
        <c:axId val="80576676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87122278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'RipplesSpacing-LP3'!$A$82:$AI$82</c:f>
              <c:strCache>
                <c:ptCount val="1"/>
                <c:pt idx="0">
                  <c:v>2.2 6.35E-01 825 8.25E-07 1.35E-07 6.75E-08 16% 8% 20 1.30E+03 1.30E-06 1.50E-13 1.50E-01 Air Gaussian 1.50E-06 1.5 0 sp 1.47E+13 2.93E+14 44.00 0.6346153846 2 1.38E-06 1.92E-06 8.25E-07 1.35E-07 16.36%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ize val="4"/>
          </c:marker>
          <c:xVal>
            <c:numRef>
              <c:f>'RipplesSpacing-LP3'!$AJ$1:$AJ$81</c:f>
              <c:numCache>
                <c:formatCode>General</c:formatCode>
                <c:ptCount val="7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</c:numCache>
            </c:numRef>
          </c:xVal>
          <c:yVal>
            <c:numRef>
              <c:f>'RipplesSpacing-LP3'!$AJ$82</c:f>
              <c:numCache>
                <c:formatCode>General</c:formatCode>
                <c:ptCount val="1"/>
                <c:pt idx="0">
                  <c:v/>
                </c:pt>
              </c:numCache>
            </c:numRef>
          </c:yVal>
        </c:ser>
        <c:ser>
          <c:idx val="1"/>
          <c:order val="1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4"/>
          </c:marker>
          <c:xVal>
            <c:numRef>
              <c:f>'RipplesSpacing-LP3'!$M$2:$M$62</c:f>
              <c:numCache>
                <c:formatCode>General</c:formatCode>
                <c:ptCount val="5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</c:numCache>
            </c:numRef>
          </c:xVal>
          <c:yVal>
            <c:numRef>
              <c:f>'RipplesSpacing-LP3'!$B$2:$B$62</c:f>
              <c:numCache>
                <c:formatCode>General</c:formatCode>
                <c:ptCount val="59"/>
                <c:pt idx="0">
                  <c:v>1.00833333333333</c:v>
                </c:pt>
                <c:pt idx="1">
                  <c:v>1.03</c:v>
                </c:pt>
                <c:pt idx="2">
                  <c:v>0.944642857142857</c:v>
                </c:pt>
                <c:pt idx="3">
                  <c:v>0.8796875</c:v>
                </c:pt>
                <c:pt idx="4">
                  <c:v>0.944444444444444</c:v>
                </c:pt>
                <c:pt idx="5">
                  <c:v>0.946527777777778</c:v>
                </c:pt>
                <c:pt idx="6">
                  <c:v>0.909895833333333</c:v>
                </c:pt>
                <c:pt idx="7">
                  <c:v>0.963020833333333</c:v>
                </c:pt>
                <c:pt idx="8">
                  <c:v>0.9</c:v>
                </c:pt>
                <c:pt idx="9">
                  <c:v>0.990277777777778</c:v>
                </c:pt>
                <c:pt idx="10">
                  <c:v>1.0125</c:v>
                </c:pt>
                <c:pt idx="11">
                  <c:v>1.001875</c:v>
                </c:pt>
                <c:pt idx="12">
                  <c:v>0.938888888888889</c:v>
                </c:pt>
                <c:pt idx="13">
                  <c:v>0.8796875</c:v>
                </c:pt>
                <c:pt idx="14">
                  <c:v>1.06041666666667</c:v>
                </c:pt>
                <c:pt idx="15">
                  <c:v>0.915</c:v>
                </c:pt>
                <c:pt idx="16">
                  <c:v>0.883333333333333</c:v>
                </c:pt>
                <c:pt idx="17">
                  <c:v>0.98125</c:v>
                </c:pt>
                <c:pt idx="18">
                  <c:v>0.9171875</c:v>
                </c:pt>
                <c:pt idx="19">
                  <c:v>0.9375</c:v>
                </c:pt>
                <c:pt idx="20">
                  <c:v>0.944736842105263</c:v>
                </c:pt>
                <c:pt idx="21">
                  <c:v>0.8453125</c:v>
                </c:pt>
                <c:pt idx="22">
                  <c:v>0.861607142857143</c:v>
                </c:pt>
                <c:pt idx="23">
                  <c:v>0.954807692307692</c:v>
                </c:pt>
                <c:pt idx="24">
                  <c:v>1.0025</c:v>
                </c:pt>
                <c:pt idx="25">
                  <c:v>0.926785714285714</c:v>
                </c:pt>
                <c:pt idx="26">
                  <c:v>0.99375</c:v>
                </c:pt>
                <c:pt idx="27">
                  <c:v>0.940441176470588</c:v>
                </c:pt>
                <c:pt idx="28">
                  <c:v>0.946428571428571</c:v>
                </c:pt>
                <c:pt idx="29">
                  <c:v>0.917708333333333</c:v>
                </c:pt>
                <c:pt idx="30">
                  <c:v>0.89375</c:v>
                </c:pt>
                <c:pt idx="31">
                  <c:v>0.807291666666666</c:v>
                </c:pt>
                <c:pt idx="32">
                  <c:v>0.99</c:v>
                </c:pt>
                <c:pt idx="33">
                  <c:v>1.0275</c:v>
                </c:pt>
                <c:pt idx="34">
                  <c:v>1.00078125</c:v>
                </c:pt>
                <c:pt idx="35">
                  <c:v>0.97625</c:v>
                </c:pt>
                <c:pt idx="36">
                  <c:v>0.904861111111111</c:v>
                </c:pt>
                <c:pt idx="37">
                  <c:v>1.02125</c:v>
                </c:pt>
                <c:pt idx="38">
                  <c:v>0.89375</c:v>
                </c:pt>
                <c:pt idx="39">
                  <c:v>0.9796875</c:v>
                </c:pt>
                <c:pt idx="40">
                  <c:v>1.0328125</c:v>
                </c:pt>
                <c:pt idx="41">
                  <c:v>1</c:v>
                </c:pt>
                <c:pt idx="42">
                  <c:v>0.904807692307692</c:v>
                </c:pt>
                <c:pt idx="43">
                  <c:v>0.91875</c:v>
                </c:pt>
                <c:pt idx="44">
                  <c:v>0.920833333333333</c:v>
                </c:pt>
                <c:pt idx="45">
                  <c:v>0.937916666666667</c:v>
                </c:pt>
                <c:pt idx="46">
                  <c:v>0.932386363636364</c:v>
                </c:pt>
                <c:pt idx="47">
                  <c:v>0.954807692307692</c:v>
                </c:pt>
                <c:pt idx="48">
                  <c:v>0.99375</c:v>
                </c:pt>
                <c:pt idx="49">
                  <c:v>1.00572916666667</c:v>
                </c:pt>
                <c:pt idx="50">
                  <c:v>0.8875</c:v>
                </c:pt>
                <c:pt idx="51">
                  <c:v>0.979166666666666</c:v>
                </c:pt>
                <c:pt idx="52">
                  <c:v>0.925</c:v>
                </c:pt>
                <c:pt idx="53">
                  <c:v>0.874107142857143</c:v>
                </c:pt>
                <c:pt idx="54">
                  <c:v>0.929166666666667</c:v>
                </c:pt>
                <c:pt idx="55">
                  <c:v>0.90625</c:v>
                </c:pt>
                <c:pt idx="56">
                  <c:v>0.879166666666667</c:v>
                </c:pt>
                <c:pt idx="57">
                  <c:v>0.9609375</c:v>
                </c:pt>
                <c:pt idx="58">
                  <c:v>0.89375</c:v>
                </c:pt>
              </c:numCache>
            </c:numRef>
          </c:yVal>
        </c:ser>
        <c:ser>
          <c:idx val="2"/>
          <c:order val="2"/>
          <c:tx>
            <c:strRef>
              <c:f>"Litterature"</c:f>
              <c:strCache>
                <c:ptCount val="1"/>
                <c:pt idx="0">
                  <c:v>Litterature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4"/>
          </c:marker>
          <c:xVal>
            <c:numRef>
              <c:f>'RipplesSpacing-Litteratur'!$J$2:$J$66</c:f>
              <c:numCache>
                <c:formatCode>General</c:formatCode>
                <c:ptCount val="65"/>
                <c:pt idx="0">
                  <c:v>0.15</c:v>
                </c:pt>
                <c:pt idx="1">
                  <c:v>15000000</c:v>
                </c:pt>
                <c:pt idx="2">
                  <c:v>0.15</c:v>
                </c:pt>
                <c:pt idx="3">
                  <c:v>0.15</c:v>
                </c:pt>
                <c:pt idx="4">
                  <c:v>0.13</c:v>
                </c:pt>
                <c:pt idx="5">
                  <c:v>0.13</c:v>
                </c:pt>
                <c:pt idx="6">
                  <c:v>0.005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0.09</c:v>
                </c:pt>
                <c:pt idx="12">
                  <c:v>0.2</c:v>
                </c:pt>
                <c:pt idx="13">
                  <c:v>0.09</c:v>
                </c:pt>
                <c:pt idx="14">
                  <c:v>0.09</c:v>
                </c:pt>
                <c:pt idx="15">
                  <c:v>0.2</c:v>
                </c:pt>
                <c:pt idx="16">
                  <c:v>0.19</c:v>
                </c:pt>
                <c:pt idx="17">
                  <c:v>0.19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0.19</c:v>
                </c:pt>
                <c:pt idx="23">
                  <c:v>0.09</c:v>
                </c:pt>
                <c:pt idx="24">
                  <c:v>0.5</c:v>
                </c:pt>
                <c:pt idx="25">
                  <c:v>0.08</c:v>
                </c:pt>
                <c:pt idx="26">
                  <c:v>0.13</c:v>
                </c:pt>
                <c:pt idx="27">
                  <c:v>0.1</c:v>
                </c:pt>
                <c:pt idx="28">
                  <c:v>0.13</c:v>
                </c:pt>
                <c:pt idx="29">
                  <c:v>0.13</c:v>
                </c:pt>
                <c:pt idx="30">
                  <c:v>0.1</c:v>
                </c:pt>
                <c:pt idx="31">
                  <c:v>0.15</c:v>
                </c:pt>
                <c:pt idx="32">
                  <c:v>0.15</c:v>
                </c:pt>
                <c:pt idx="33">
                  <c:v>0.1</c:v>
                </c:pt>
                <c:pt idx="34">
                  <c:v>0.15</c:v>
                </c:pt>
                <c:pt idx="35">
                  <c:v>0.38</c:v>
                </c:pt>
                <c:pt idx="36">
                  <c:v>0.38</c:v>
                </c:pt>
                <c:pt idx="37">
                  <c:v>0.15</c:v>
                </c:pt>
                <c:pt idx="38">
                  <c:v>0.1</c:v>
                </c:pt>
                <c:pt idx="39">
                  <c:v>0.1</c:v>
                </c:pt>
                <c:pt idx="40">
                  <c:v>0.08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0.12</c:v>
                </c:pt>
                <c:pt idx="45">
                  <c:v>0.1</c:v>
                </c:pt>
                <c:pt idx="46">
                  <c:v>0.1</c:v>
                </c:pt>
                <c:pt idx="47">
                  <c:v>0.045</c:v>
                </c:pt>
                <c:pt idx="48">
                  <c:v>0.045</c:v>
                </c:pt>
                <c:pt idx="49">
                  <c:v>0.045</c:v>
                </c:pt>
                <c:pt idx="50">
                  <c:v>0.045</c:v>
                </c:pt>
                <c:pt idx="51">
                  <c:v>0.045</c:v>
                </c:pt>
                <c:pt idx="52">
                  <c:v>0.045</c:v>
                </c:pt>
                <c:pt idx="53">
                  <c:v>0.045</c:v>
                </c:pt>
                <c:pt idx="54">
                  <c:v>0.045</c:v>
                </c:pt>
                <c:pt idx="55">
                  <c:v>0.045</c:v>
                </c:pt>
                <c:pt idx="56">
                  <c:v>0.045</c:v>
                </c:pt>
                <c:pt idx="57">
                  <c:v>0.15</c:v>
                </c:pt>
                <c:pt idx="58">
                  <c:v>0.15</c:v>
                </c:pt>
                <c:pt idx="59">
                  <c:v>0.12</c:v>
                </c:pt>
                <c:pt idx="60">
                  <c:v>0.12</c:v>
                </c:pt>
                <c:pt idx="61">
                  <c:v>0.12</c:v>
                </c:pt>
                <c:pt idx="62">
                  <c:v>0.17</c:v>
                </c:pt>
                <c:pt idx="63">
                  <c:v>0.5</c:v>
                </c:pt>
                <c:pt idx="64">
                  <c:v>0.13</c:v>
                </c:pt>
              </c:numCache>
            </c:numRef>
          </c:xVal>
          <c:yVal>
            <c:numRef>
              <c:f>'RipplesSpacing-Litteratur'!$D$2:$D$66</c:f>
              <c:numCache>
                <c:formatCode>General</c:formatCode>
                <c:ptCount val="65"/>
                <c:pt idx="0">
                  <c:v>0.858064516129032</c:v>
                </c:pt>
                <c:pt idx="1">
                  <c:v>2.88184438040346</c:v>
                </c:pt>
                <c:pt idx="2">
                  <c:v>0.787096774193548</c:v>
                </c:pt>
                <c:pt idx="3">
                  <c:v>0.740645161290323</c:v>
                </c:pt>
                <c:pt idx="4">
                  <c:v>0.9625</c:v>
                </c:pt>
                <c:pt idx="5">
                  <c:v>0.875</c:v>
                </c:pt>
                <c:pt idx="6">
                  <c:v>0.879206730769231</c:v>
                </c:pt>
                <c:pt idx="7">
                  <c:v>0.893452380952381</c:v>
                </c:pt>
                <c:pt idx="8">
                  <c:v>0.931907894736842</c:v>
                </c:pt>
                <c:pt idx="9">
                  <c:v>0.933881578947368</c:v>
                </c:pt>
                <c:pt idx="10">
                  <c:v>0.85125</c:v>
                </c:pt>
                <c:pt idx="11">
                  <c:v>0.761904761904762</c:v>
                </c:pt>
                <c:pt idx="12">
                  <c:v>0.204761904761905</c:v>
                </c:pt>
                <c:pt idx="13">
                  <c:v>0.807692307692308</c:v>
                </c:pt>
                <c:pt idx="14">
                  <c:v>0.8125</c:v>
                </c:pt>
                <c:pt idx="15">
                  <c:v>0.82797619047619</c:v>
                </c:pt>
                <c:pt idx="16">
                  <c:v>0.692872117400419</c:v>
                </c:pt>
                <c:pt idx="17">
                  <c:v>0.736992567181246</c:v>
                </c:pt>
                <c:pt idx="18">
                  <c:v>0.744375</c:v>
                </c:pt>
                <c:pt idx="19">
                  <c:v>0.196336206896552</c:v>
                </c:pt>
                <c:pt idx="20">
                  <c:v>0.170416666666667</c:v>
                </c:pt>
                <c:pt idx="21">
                  <c:v>0.738461538461538</c:v>
                </c:pt>
                <c:pt idx="22">
                  <c:v>0.880503144654088</c:v>
                </c:pt>
                <c:pt idx="23">
                  <c:v>0.638034188034188</c:v>
                </c:pt>
                <c:pt idx="24">
                  <c:v>3.11491935483871</c:v>
                </c:pt>
                <c:pt idx="25">
                  <c:v>0.2461</c:v>
                </c:pt>
                <c:pt idx="26">
                  <c:v>0.71945</c:v>
                </c:pt>
                <c:pt idx="27">
                  <c:v>0.719373219373219</c:v>
                </c:pt>
                <c:pt idx="28">
                  <c:v>0.70075</c:v>
                </c:pt>
                <c:pt idx="29">
                  <c:v>0.766875</c:v>
                </c:pt>
                <c:pt idx="30">
                  <c:v>0.25625</c:v>
                </c:pt>
                <c:pt idx="31">
                  <c:v>0.87741935483871</c:v>
                </c:pt>
                <c:pt idx="32">
                  <c:v>0.883870967741935</c:v>
                </c:pt>
                <c:pt idx="33">
                  <c:v>0.17</c:v>
                </c:pt>
                <c:pt idx="34">
                  <c:v>0.935483870967742</c:v>
                </c:pt>
                <c:pt idx="35">
                  <c:v>0.286290322580645</c:v>
                </c:pt>
                <c:pt idx="36">
                  <c:v>0.784610215053764</c:v>
                </c:pt>
                <c:pt idx="37">
                  <c:v>0.935483870967742</c:v>
                </c:pt>
                <c:pt idx="38">
                  <c:v>0.15125</c:v>
                </c:pt>
                <c:pt idx="39">
                  <c:v>0.223125</c:v>
                </c:pt>
                <c:pt idx="40">
                  <c:v>0.809428571428571</c:v>
                </c:pt>
                <c:pt idx="41">
                  <c:v>0.827111111111111</c:v>
                </c:pt>
                <c:pt idx="42">
                  <c:v>0.25</c:v>
                </c:pt>
                <c:pt idx="43">
                  <c:v>0.2875</c:v>
                </c:pt>
                <c:pt idx="44">
                  <c:v>0.408035714285714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</c:v>
                </c:pt>
                <c:pt idx="50">
                  <c:v>0.73125</c:v>
                </c:pt>
                <c:pt idx="51">
                  <c:v>0.58125</c:v>
                </c:pt>
                <c:pt idx="52">
                  <c:v>0.33125</c:v>
                </c:pt>
                <c:pt idx="53">
                  <c:v>0.2125</c:v>
                </c:pt>
                <c:pt idx="54">
                  <c:v>0.110625</c:v>
                </c:pt>
                <c:pt idx="55">
                  <c:v>0.88125</c:v>
                </c:pt>
                <c:pt idx="56">
                  <c:v>0.2375</c:v>
                </c:pt>
                <c:pt idx="57">
                  <c:v>1.5875</c:v>
                </c:pt>
                <c:pt idx="58">
                  <c:v>1.5875</c:v>
                </c:pt>
                <c:pt idx="59">
                  <c:v>0.93125</c:v>
                </c:pt>
                <c:pt idx="60">
                  <c:v>0.825</c:v>
                </c:pt>
                <c:pt idx="61">
                  <c:v>0.25625</c:v>
                </c:pt>
                <c:pt idx="62">
                  <c:v/>
                </c:pt>
                <c:pt idx="63">
                  <c:v>3.06451612903226</c:v>
                </c:pt>
                <c:pt idx="64">
                  <c:v>0.19875</c:v>
                </c:pt>
              </c:numCache>
            </c:numRef>
          </c:yVal>
        </c:ser>
        <c:axId val="38119060"/>
        <c:axId val="68524768"/>
      </c:scatterChart>
      <c:valAx>
        <c:axId val="38119060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68524768"/>
        <c:crossesAt val="0"/>
      </c:valAx>
      <c:valAx>
        <c:axId val="68524768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8119060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"LP3, F=0.8, N=3"</c:f>
              <c:strCache>
                <c:ptCount val="1"/>
                <c:pt idx="0">
                  <c:v>LP3, F=0.8, N=3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'RipplesSpacing-LP3'!$Q$77:$Q$80</c:f>
              <c:numCache>
                <c:formatCode>General</c:formatCod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numCache>
            </c:numRef>
          </c:xVal>
          <c:yVal>
            <c:numRef>
              <c:f>'RipplesSpacing-LP3'!$W$77:$W$80</c:f>
              <c:numCache>
                <c:formatCode>General</c:formatCode>
                <c:ptCount val="4"/>
                <c:pt idx="0">
                  <c:v>0.83125</c:v>
                </c:pt>
                <c:pt idx="1">
                  <c:v>0.68515625</c:v>
                </c:pt>
                <c:pt idx="2">
                  <c:v>0.7184375</c:v>
                </c:pt>
                <c:pt idx="3">
                  <c:v>0.86875</c:v>
                </c:pt>
              </c:numCache>
            </c:numRef>
          </c:yVal>
        </c:ser>
        <c:ser>
          <c:idx val="1"/>
          <c:order val="1"/>
          <c:tx>
            <c:strRef>
              <c:f>"LP3, F=1.15, N=1"</c:f>
              <c:strCache>
                <c:ptCount val="1"/>
                <c:pt idx="0">
                  <c:v>LP3, F=1.15, N=1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'RipplesSpacing-LP3'!$Q$75:$Q$76</c:f>
              <c:numCache>
                <c:formatCode>General</c:formatCode>
                <c:ptCount val="2"/>
                <c:pt idx="0">
                  <c:v/>
                </c:pt>
                <c:pt idx="1">
                  <c:v/>
                </c:pt>
              </c:numCache>
            </c:numRef>
          </c:xVal>
          <c:yVal>
            <c:numRef>
              <c:f>'RipplesSpacing-LP3'!$W$75:$W$76</c:f>
              <c:numCache>
                <c:formatCode>General</c:formatCode>
                <c:ptCount val="2"/>
                <c:pt idx="0">
                  <c:v>0.87425</c:v>
                </c:pt>
                <c:pt idx="1">
                  <c:v>0.751923076923077</c:v>
                </c:pt>
              </c:numCache>
            </c:numRef>
          </c:yVal>
        </c:ser>
        <c:ser>
          <c:idx val="2"/>
          <c:order val="2"/>
          <c:tx>
            <c:strRef>
              <c:f>"Litterature"</c:f>
              <c:strCache>
                <c:ptCount val="1"/>
                <c:pt idx="0">
                  <c:v>Litterature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'RipplesSpacing-Litteratur'!$AS$31:$AS$66</c:f>
              <c:numCache>
                <c:formatCode>General</c:formatCode>
                <c:ptCount val="36"/>
                <c:pt idx="0">
                  <c:v/>
                </c:pt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  <c:pt idx="4">
                  <c:v>190</c:v>
                </c:pt>
                <c:pt idx="5">
                  <c:v>150</c:v>
                </c:pt>
                <c:pt idx="6">
                  <c:v/>
                </c:pt>
                <c:pt idx="7">
                  <c:v/>
                </c:pt>
                <c:pt idx="8">
                  <c:v>150</c:v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123</c:v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100</c:v>
                </c:pt>
                <c:pt idx="17">
                  <c:v>100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</c:numCache>
            </c:numRef>
          </c:xVal>
          <c:yVal>
            <c:numRef>
              <c:f>'RipplesSpacing-Litteratur'!$D$6:$D$48</c:f>
              <c:numCache>
                <c:formatCode>General</c:formatCode>
                <c:ptCount val="43"/>
                <c:pt idx="0">
                  <c:v>0.9625</c:v>
                </c:pt>
                <c:pt idx="1">
                  <c:v>0.875</c:v>
                </c:pt>
                <c:pt idx="2">
                  <c:v>0.879206730769231</c:v>
                </c:pt>
                <c:pt idx="3">
                  <c:v>0.893452380952381</c:v>
                </c:pt>
                <c:pt idx="4">
                  <c:v>0.931907894736842</c:v>
                </c:pt>
                <c:pt idx="5">
                  <c:v>0.933881578947368</c:v>
                </c:pt>
                <c:pt idx="6">
                  <c:v>0.85125</c:v>
                </c:pt>
                <c:pt idx="7">
                  <c:v>0.761904761904762</c:v>
                </c:pt>
                <c:pt idx="8">
                  <c:v>0.204761904761905</c:v>
                </c:pt>
                <c:pt idx="9">
                  <c:v>0.807692307692308</c:v>
                </c:pt>
                <c:pt idx="10">
                  <c:v>0.8125</c:v>
                </c:pt>
                <c:pt idx="11">
                  <c:v>0.82797619047619</c:v>
                </c:pt>
                <c:pt idx="12">
                  <c:v>0.692872117400419</c:v>
                </c:pt>
                <c:pt idx="13">
                  <c:v>0.736992567181246</c:v>
                </c:pt>
                <c:pt idx="14">
                  <c:v>0.744375</c:v>
                </c:pt>
                <c:pt idx="15">
                  <c:v>0.196336206896552</c:v>
                </c:pt>
                <c:pt idx="16">
                  <c:v>0.170416666666667</c:v>
                </c:pt>
                <c:pt idx="17">
                  <c:v>0.738461538461538</c:v>
                </c:pt>
                <c:pt idx="18">
                  <c:v>0.880503144654088</c:v>
                </c:pt>
                <c:pt idx="19">
                  <c:v>0.638034188034188</c:v>
                </c:pt>
                <c:pt idx="20">
                  <c:v>3.11491935483871</c:v>
                </c:pt>
                <c:pt idx="21">
                  <c:v>0.2461</c:v>
                </c:pt>
                <c:pt idx="22">
                  <c:v>0.71945</c:v>
                </c:pt>
                <c:pt idx="23">
                  <c:v>0.719373219373219</c:v>
                </c:pt>
                <c:pt idx="24">
                  <c:v>0.70075</c:v>
                </c:pt>
                <c:pt idx="25">
                  <c:v>0.766875</c:v>
                </c:pt>
                <c:pt idx="26">
                  <c:v>0.25625</c:v>
                </c:pt>
                <c:pt idx="27">
                  <c:v>0.87741935483871</c:v>
                </c:pt>
                <c:pt idx="28">
                  <c:v>0.883870967741935</c:v>
                </c:pt>
                <c:pt idx="29">
                  <c:v>0.17</c:v>
                </c:pt>
                <c:pt idx="30">
                  <c:v>0.935483870967742</c:v>
                </c:pt>
                <c:pt idx="31">
                  <c:v>0.286290322580645</c:v>
                </c:pt>
                <c:pt idx="32">
                  <c:v>0.784610215053764</c:v>
                </c:pt>
                <c:pt idx="33">
                  <c:v>0.935483870967742</c:v>
                </c:pt>
                <c:pt idx="34">
                  <c:v>0.15125</c:v>
                </c:pt>
                <c:pt idx="35">
                  <c:v>0.223125</c:v>
                </c:pt>
                <c:pt idx="36">
                  <c:v>0.809428571428571</c:v>
                </c:pt>
                <c:pt idx="37">
                  <c:v>0.827111111111111</c:v>
                </c:pt>
                <c:pt idx="38">
                  <c:v>0.25</c:v>
                </c:pt>
                <c:pt idx="39">
                  <c:v>0.2875</c:v>
                </c:pt>
                <c:pt idx="40">
                  <c:v>0.408035714285714</c:v>
                </c:pt>
                <c:pt idx="41">
                  <c:v>0.25</c:v>
                </c:pt>
                <c:pt idx="42">
                  <c:v>0.625</c:v>
                </c:pt>
              </c:numCache>
            </c:numRef>
          </c:yVal>
        </c:ser>
        <c:ser>
          <c:idx val="3"/>
          <c:order val="3"/>
          <c:tx>
            <c:strRef>
              <c:f>"LP3 all"</c:f>
              <c:strCache>
                <c:ptCount val="1"/>
                <c:pt idx="0">
                  <c:v>LP3 all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'RipplesSpacing-LP3'!$Q$64:$Q$82</c:f>
              <c:numCache>
                <c:formatCode>General</c:formatCode>
                <c:ptCount val="19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>1.5</c:v>
                </c:pt>
                <c:pt idx="18">
                  <c:v>1.5</c:v>
                </c:pt>
              </c:numCache>
            </c:numRef>
          </c:xVal>
          <c:yVal>
            <c:numRef>
              <c:f>'RipplesSpacing-LP3'!$W$64:$W$82</c:f>
              <c:numCache>
                <c:formatCode>General</c:formatCode>
                <c:ptCount val="19"/>
                <c:pt idx="0">
                  <c:v>0.925735294117647</c:v>
                </c:pt>
                <c:pt idx="1">
                  <c:v>0.935625</c:v>
                </c:pt>
                <c:pt idx="2">
                  <c:v>0.922395833333333</c:v>
                </c:pt>
                <c:pt idx="3">
                  <c:v>0.853125</c:v>
                </c:pt>
                <c:pt idx="4">
                  <c:v>0.9228125</c:v>
                </c:pt>
                <c:pt idx="5">
                  <c:v>0.728125</c:v>
                </c:pt>
                <c:pt idx="6">
                  <c:v>0.909027777777778</c:v>
                </c:pt>
                <c:pt idx="7">
                  <c:v>0.690865384615385</c:v>
                </c:pt>
                <c:pt idx="8">
                  <c:v>0.8905</c:v>
                </c:pt>
                <c:pt idx="9">
                  <c:v>0.84375</c:v>
                </c:pt>
                <c:pt idx="10">
                  <c:v>0.690625</c:v>
                </c:pt>
                <c:pt idx="11">
                  <c:v>0.87425</c:v>
                </c:pt>
                <c:pt idx="12">
                  <c:v>0.751923076923077</c:v>
                </c:pt>
                <c:pt idx="13">
                  <c:v>0.83125</c:v>
                </c:pt>
                <c:pt idx="14">
                  <c:v>0.68515625</c:v>
                </c:pt>
                <c:pt idx="15">
                  <c:v>0.7184375</c:v>
                </c:pt>
                <c:pt idx="16">
                  <c:v>0.86875</c:v>
                </c:pt>
                <c:pt idx="17">
                  <c:v>0.534615384615385</c:v>
                </c:pt>
                <c:pt idx="18">
                  <c:v>0.634615384615385</c:v>
                </c:pt>
              </c:numCache>
            </c:numRef>
          </c:yVal>
        </c:ser>
        <c:ser>
          <c:idx val="4"/>
          <c:order val="4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'RipplesSpacing-LP3'!$Q$2:$Q$115</c:f>
              <c:numCache>
                <c:formatCode>General</c:formatCode>
                <c:ptCount val="112"/>
                <c:pt idx="0">
                  <c:v>33.7</c:v>
                </c:pt>
                <c:pt idx="1">
                  <c:v>33.7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>4.57</c:v>
                </c:pt>
                <c:pt idx="14">
                  <c:v>6.12</c:v>
                </c:pt>
                <c:pt idx="15">
                  <c:v>5.32</c:v>
                </c:pt>
                <c:pt idx="16">
                  <c:v>14.84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>20</c:v>
                </c:pt>
                <c:pt idx="54">
                  <c:v>4.53</c:v>
                </c:pt>
                <c:pt idx="55">
                  <c:v>6.7</c:v>
                </c:pt>
                <c:pt idx="56">
                  <c:v>5.29</c:v>
                </c:pt>
                <c:pt idx="57">
                  <c:v>15</c:v>
                </c:pt>
                <c:pt idx="58">
                  <c:v>14</c:v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>1.5</c:v>
                </c:pt>
                <c:pt idx="78">
                  <c:v>1.5</c:v>
                </c:pt>
                <c:pt idx="79">
                  <c:v>31</c:v>
                </c:pt>
                <c:pt idx="80">
                  <c:v>32</c:v>
                </c:pt>
                <c:pt idx="81">
                  <c:v>32</c:v>
                </c:pt>
                <c:pt idx="82">
                  <c:v>35</c:v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>10</c:v>
                </c:pt>
                <c:pt idx="109">
                  <c:v>13.1</c:v>
                </c:pt>
                <c:pt idx="110">
                  <c:v>15.4</c:v>
                </c:pt>
                <c:pt idx="111">
                  <c:v>20</c:v>
                </c:pt>
              </c:numCache>
            </c:numRef>
          </c:xVal>
          <c:yVal>
            <c:numRef>
              <c:f>'RipplesSpacing-LP3'!$B$2:$B$115</c:f>
              <c:numCache>
                <c:formatCode>General</c:formatCode>
                <c:ptCount val="112"/>
                <c:pt idx="0">
                  <c:v>1.00833333333333</c:v>
                </c:pt>
                <c:pt idx="1">
                  <c:v>1.03</c:v>
                </c:pt>
                <c:pt idx="2">
                  <c:v>0.944642857142857</c:v>
                </c:pt>
                <c:pt idx="3">
                  <c:v>0.8796875</c:v>
                </c:pt>
                <c:pt idx="4">
                  <c:v>0.944444444444444</c:v>
                </c:pt>
                <c:pt idx="5">
                  <c:v>0.946527777777778</c:v>
                </c:pt>
                <c:pt idx="6">
                  <c:v>0.909895833333333</c:v>
                </c:pt>
                <c:pt idx="7">
                  <c:v>0.963020833333333</c:v>
                </c:pt>
                <c:pt idx="8">
                  <c:v>0.9</c:v>
                </c:pt>
                <c:pt idx="9">
                  <c:v>0.990277777777778</c:v>
                </c:pt>
                <c:pt idx="10">
                  <c:v>1.0125</c:v>
                </c:pt>
                <c:pt idx="11">
                  <c:v>1.001875</c:v>
                </c:pt>
                <c:pt idx="12">
                  <c:v>0.938888888888889</c:v>
                </c:pt>
                <c:pt idx="13">
                  <c:v>0.8796875</c:v>
                </c:pt>
                <c:pt idx="14">
                  <c:v>1.06041666666667</c:v>
                </c:pt>
                <c:pt idx="15">
                  <c:v>0.915</c:v>
                </c:pt>
                <c:pt idx="16">
                  <c:v>0.883333333333333</c:v>
                </c:pt>
                <c:pt idx="17">
                  <c:v>0.98125</c:v>
                </c:pt>
                <c:pt idx="18">
                  <c:v>0.9171875</c:v>
                </c:pt>
                <c:pt idx="19">
                  <c:v>0.9375</c:v>
                </c:pt>
                <c:pt idx="20">
                  <c:v>0.944736842105263</c:v>
                </c:pt>
                <c:pt idx="21">
                  <c:v>0.8453125</c:v>
                </c:pt>
                <c:pt idx="22">
                  <c:v>0.861607142857143</c:v>
                </c:pt>
                <c:pt idx="23">
                  <c:v>0.954807692307692</c:v>
                </c:pt>
                <c:pt idx="24">
                  <c:v>1.0025</c:v>
                </c:pt>
                <c:pt idx="25">
                  <c:v>0.926785714285714</c:v>
                </c:pt>
                <c:pt idx="26">
                  <c:v>0.99375</c:v>
                </c:pt>
                <c:pt idx="27">
                  <c:v>0.940441176470588</c:v>
                </c:pt>
                <c:pt idx="28">
                  <c:v>0.946428571428571</c:v>
                </c:pt>
                <c:pt idx="29">
                  <c:v>0.917708333333333</c:v>
                </c:pt>
                <c:pt idx="30">
                  <c:v>0.89375</c:v>
                </c:pt>
                <c:pt idx="31">
                  <c:v>0.807291666666666</c:v>
                </c:pt>
                <c:pt idx="32">
                  <c:v>0.99</c:v>
                </c:pt>
                <c:pt idx="33">
                  <c:v>1.0275</c:v>
                </c:pt>
                <c:pt idx="34">
                  <c:v>1.00078125</c:v>
                </c:pt>
                <c:pt idx="35">
                  <c:v>0.97625</c:v>
                </c:pt>
                <c:pt idx="36">
                  <c:v>0.904861111111111</c:v>
                </c:pt>
                <c:pt idx="37">
                  <c:v>1.02125</c:v>
                </c:pt>
                <c:pt idx="38">
                  <c:v>0.89375</c:v>
                </c:pt>
                <c:pt idx="39">
                  <c:v>0.9796875</c:v>
                </c:pt>
                <c:pt idx="40">
                  <c:v>1.0328125</c:v>
                </c:pt>
                <c:pt idx="41">
                  <c:v>1</c:v>
                </c:pt>
                <c:pt idx="42">
                  <c:v>0.904807692307692</c:v>
                </c:pt>
                <c:pt idx="43">
                  <c:v>0.91875</c:v>
                </c:pt>
                <c:pt idx="44">
                  <c:v>0.920833333333333</c:v>
                </c:pt>
                <c:pt idx="45">
                  <c:v>0.937916666666667</c:v>
                </c:pt>
                <c:pt idx="46">
                  <c:v>0.932386363636364</c:v>
                </c:pt>
                <c:pt idx="47">
                  <c:v>0.954807692307692</c:v>
                </c:pt>
                <c:pt idx="48">
                  <c:v>0.99375</c:v>
                </c:pt>
                <c:pt idx="49">
                  <c:v>1.00572916666667</c:v>
                </c:pt>
                <c:pt idx="50">
                  <c:v>0.8875</c:v>
                </c:pt>
                <c:pt idx="51">
                  <c:v>0.979166666666666</c:v>
                </c:pt>
                <c:pt idx="52">
                  <c:v>0.925</c:v>
                </c:pt>
                <c:pt idx="53">
                  <c:v>0.874107142857143</c:v>
                </c:pt>
                <c:pt idx="54">
                  <c:v>0.929166666666667</c:v>
                </c:pt>
                <c:pt idx="55">
                  <c:v>0.90625</c:v>
                </c:pt>
                <c:pt idx="56">
                  <c:v>0.879166666666667</c:v>
                </c:pt>
                <c:pt idx="57">
                  <c:v>0.9609375</c:v>
                </c:pt>
                <c:pt idx="58">
                  <c:v>0.89375</c:v>
                </c:pt>
                <c:pt idx="59">
                  <c:v>0.944117647058823</c:v>
                </c:pt>
                <c:pt idx="60">
                  <c:v>0.925735294117647</c:v>
                </c:pt>
                <c:pt idx="61">
                  <c:v>0.935625</c:v>
                </c:pt>
                <c:pt idx="62">
                  <c:v>0.922395833333333</c:v>
                </c:pt>
                <c:pt idx="63">
                  <c:v>0.853125</c:v>
                </c:pt>
                <c:pt idx="64">
                  <c:v>0.9228125</c:v>
                </c:pt>
                <c:pt idx="65">
                  <c:v>0.89375</c:v>
                </c:pt>
                <c:pt idx="66">
                  <c:v>0.909027777777778</c:v>
                </c:pt>
                <c:pt idx="67">
                  <c:v>0.86875</c:v>
                </c:pt>
                <c:pt idx="68">
                  <c:v>0.8905</c:v>
                </c:pt>
                <c:pt idx="69">
                  <c:v>0.84375</c:v>
                </c:pt>
                <c:pt idx="70">
                  <c:v>0.690625</c:v>
                </c:pt>
                <c:pt idx="71">
                  <c:v>0.87425</c:v>
                </c:pt>
                <c:pt idx="72">
                  <c:v>0.751923076923077</c:v>
                </c:pt>
                <c:pt idx="73">
                  <c:v>0.83125</c:v>
                </c:pt>
                <c:pt idx="74">
                  <c:v>0.68515625</c:v>
                </c:pt>
                <c:pt idx="75">
                  <c:v>0.7184375</c:v>
                </c:pt>
                <c:pt idx="76">
                  <c:v>0.86875</c:v>
                </c:pt>
                <c:pt idx="77">
                  <c:v>0.534615384615385</c:v>
                </c:pt>
                <c:pt idx="78">
                  <c:v>0.634615384615385</c:v>
                </c:pt>
                <c:pt idx="79">
                  <c:v>0.775</c:v>
                </c:pt>
                <c:pt idx="80">
                  <c:v>0.775</c:v>
                </c:pt>
                <c:pt idx="81">
                  <c:v>0.8</c:v>
                </c:pt>
                <c:pt idx="82">
                  <c:v>0.75</c:v>
                </c:pt>
                <c:pt idx="83">
                  <c:v>0.75625</c:v>
                </c:pt>
                <c:pt idx="84">
                  <c:v>0.775</c:v>
                </c:pt>
                <c:pt idx="85">
                  <c:v>0.78125</c:v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>0</c:v>
                </c:pt>
                <c:pt idx="109">
                  <c:v>0.8625</c:v>
                </c:pt>
                <c:pt idx="110">
                  <c:v>0.83125</c:v>
                </c:pt>
                <c:pt idx="111">
                  <c:v>0.85</c:v>
                </c:pt>
              </c:numCache>
            </c:numRef>
          </c:yVal>
        </c:ser>
        <c:axId val="31150236"/>
        <c:axId val="76023991"/>
      </c:scatterChart>
      <c:valAx>
        <c:axId val="31150236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6023991"/>
        <c:crossesAt val="0"/>
      </c:valAx>
      <c:valAx>
        <c:axId val="76023991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31150236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varyColors val="0"/>
        <c:ser>
          <c:idx val="0"/>
          <c:order val="0"/>
          <c:tx>
            <c:strRef>
              <c:f>"LP3"</c:f>
              <c:strCache>
                <c:ptCount val="1"/>
                <c:pt idx="0">
                  <c:v>LP3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'RipplesSpacing-LP3'!$U$2:$U$75</c:f>
              <c:numCache>
                <c:formatCode>General</c:formatCode>
                <c:ptCount val="72"/>
                <c:pt idx="0">
                  <c:v>11500000000000</c:v>
                </c:pt>
                <c:pt idx="1">
                  <c:v>12000000000000</c:v>
                </c:pt>
                <c:pt idx="2">
                  <c:v>2000000000000</c:v>
                </c:pt>
                <c:pt idx="3">
                  <c:v>4000000000000</c:v>
                </c:pt>
                <c:pt idx="4">
                  <c:v>10000000000000</c:v>
                </c:pt>
                <c:pt idx="5">
                  <c:v>16000000000000</c:v>
                </c:pt>
                <c:pt idx="6">
                  <c:v>3000000000000</c:v>
                </c:pt>
                <c:pt idx="7">
                  <c:v>6000000000000</c:v>
                </c:pt>
                <c:pt idx="8">
                  <c:v>9390000000000</c:v>
                </c:pt>
                <c:pt idx="9">
                  <c:v>15000000000000</c:v>
                </c:pt>
                <c:pt idx="10">
                  <c:v>15000000000000</c:v>
                </c:pt>
                <c:pt idx="11">
                  <c:v>15000000000000</c:v>
                </c:pt>
                <c:pt idx="12">
                  <c:v>24000000000000</c:v>
                </c:pt>
                <c:pt idx="13">
                  <c:v>24000000000000</c:v>
                </c:pt>
                <c:pt idx="14">
                  <c:v>24000000000000</c:v>
                </c:pt>
                <c:pt idx="15">
                  <c:v>24000000000000</c:v>
                </c:pt>
                <c:pt idx="16">
                  <c:v>24000000000000</c:v>
                </c:pt>
                <c:pt idx="17">
                  <c:v>25500000000000</c:v>
                </c:pt>
                <c:pt idx="18">
                  <c:v>4000000000000</c:v>
                </c:pt>
                <c:pt idx="19">
                  <c:v>8000000000000</c:v>
                </c:pt>
                <c:pt idx="20">
                  <c:v>8000000000000</c:v>
                </c:pt>
                <c:pt idx="21">
                  <c:v>11520000000000</c:v>
                </c:pt>
                <c:pt idx="22">
                  <c:v>12520000000000</c:v>
                </c:pt>
                <c:pt idx="23">
                  <c:v>20000000000000</c:v>
                </c:pt>
                <c:pt idx="24">
                  <c:v>20000000000000</c:v>
                </c:pt>
                <c:pt idx="25">
                  <c:v>32000000000000</c:v>
                </c:pt>
                <c:pt idx="26">
                  <c:v>34000000000000</c:v>
                </c:pt>
                <c:pt idx="27">
                  <c:v>5000000000000</c:v>
                </c:pt>
                <c:pt idx="28">
                  <c:v>10000000000000</c:v>
                </c:pt>
                <c:pt idx="29">
                  <c:v>10000000000000</c:v>
                </c:pt>
                <c:pt idx="30">
                  <c:v>14400000000000</c:v>
                </c:pt>
                <c:pt idx="31">
                  <c:v>15650000000000</c:v>
                </c:pt>
                <c:pt idx="32">
                  <c:v>25000000000000</c:v>
                </c:pt>
                <c:pt idx="33">
                  <c:v>40000000000000</c:v>
                </c:pt>
                <c:pt idx="34">
                  <c:v>42500000000000</c:v>
                </c:pt>
                <c:pt idx="35">
                  <c:v>6000000000000</c:v>
                </c:pt>
                <c:pt idx="36">
                  <c:v>12000000000000</c:v>
                </c:pt>
                <c:pt idx="37">
                  <c:v>12000000000000</c:v>
                </c:pt>
                <c:pt idx="38">
                  <c:v>17280000000000</c:v>
                </c:pt>
                <c:pt idx="39">
                  <c:v>18780000000000</c:v>
                </c:pt>
                <c:pt idx="40">
                  <c:v>30000000000000</c:v>
                </c:pt>
                <c:pt idx="41">
                  <c:v>51000000000000</c:v>
                </c:pt>
                <c:pt idx="42">
                  <c:v>7000000000000</c:v>
                </c:pt>
                <c:pt idx="43">
                  <c:v>14000000000000</c:v>
                </c:pt>
                <c:pt idx="44">
                  <c:v>20160000000000</c:v>
                </c:pt>
                <c:pt idx="45">
                  <c:v>21910000000000</c:v>
                </c:pt>
                <c:pt idx="46">
                  <c:v>8000000000000</c:v>
                </c:pt>
                <c:pt idx="47">
                  <c:v>16000000000000</c:v>
                </c:pt>
                <c:pt idx="48">
                  <c:v>25040000000000</c:v>
                </c:pt>
                <c:pt idx="49">
                  <c:v>9000000000000</c:v>
                </c:pt>
                <c:pt idx="50">
                  <c:v>18000000000000</c:v>
                </c:pt>
                <c:pt idx="51">
                  <c:v>10000000000000</c:v>
                </c:pt>
                <c:pt idx="52">
                  <c:v>20000000000000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11000000000000</c:v>
                </c:pt>
                <c:pt idx="60">
                  <c:v>12000000000000</c:v>
                </c:pt>
                <c:pt idx="61">
                  <c:v>13000000000000</c:v>
                </c:pt>
                <c:pt idx="62">
                  <c:v>14000000000000</c:v>
                </c:pt>
                <c:pt idx="63">
                  <c:v>75000000000000</c:v>
                </c:pt>
                <c:pt idx="64">
                  <c:v>40000000000000</c:v>
                </c:pt>
                <c:pt idx="65">
                  <c:v>62600000000000</c:v>
                </c:pt>
                <c:pt idx="66">
                  <c:v>60000000000000</c:v>
                </c:pt>
                <c:pt idx="67">
                  <c:v>93900000000000</c:v>
                </c:pt>
                <c:pt idx="68">
                  <c:v>80000000000000</c:v>
                </c:pt>
                <c:pt idx="69">
                  <c:v>100000000000000</c:v>
                </c:pt>
                <c:pt idx="70">
                  <c:v>156500000000000</c:v>
                </c:pt>
                <c:pt idx="71">
                  <c:v>250000000000000</c:v>
                </c:pt>
              </c:numCache>
            </c:numRef>
          </c:xVal>
          <c:yVal>
            <c:numRef>
              <c:f>'RipplesSpacing-LP3'!$C$2:$C$75</c:f>
              <c:numCache>
                <c:formatCode>General</c:formatCode>
                <c:ptCount val="72"/>
                <c:pt idx="0">
                  <c:v>806.666666666667</c:v>
                </c:pt>
                <c:pt idx="1">
                  <c:v>824</c:v>
                </c:pt>
                <c:pt idx="2">
                  <c:v>755.714285714286</c:v>
                </c:pt>
                <c:pt idx="3">
                  <c:v>703.75</c:v>
                </c:pt>
                <c:pt idx="4">
                  <c:v>755.555555555556</c:v>
                </c:pt>
                <c:pt idx="5">
                  <c:v>757.222222222222</c:v>
                </c:pt>
                <c:pt idx="6">
                  <c:v>727.916666666667</c:v>
                </c:pt>
                <c:pt idx="7">
                  <c:v>770.416666666667</c:v>
                </c:pt>
                <c:pt idx="8">
                  <c:v>720</c:v>
                </c:pt>
                <c:pt idx="9">
                  <c:v>792.222222222222</c:v>
                </c:pt>
                <c:pt idx="10">
                  <c:v>810</c:v>
                </c:pt>
                <c:pt idx="11">
                  <c:v>801.5</c:v>
                </c:pt>
                <c:pt idx="12">
                  <c:v>751.111111111111</c:v>
                </c:pt>
                <c:pt idx="13">
                  <c:v>703.75</c:v>
                </c:pt>
                <c:pt idx="14">
                  <c:v>848.333333333333</c:v>
                </c:pt>
                <c:pt idx="15">
                  <c:v>732</c:v>
                </c:pt>
                <c:pt idx="16">
                  <c:v>706.666666666667</c:v>
                </c:pt>
                <c:pt idx="17">
                  <c:v>785</c:v>
                </c:pt>
                <c:pt idx="18">
                  <c:v>733.75</c:v>
                </c:pt>
                <c:pt idx="19">
                  <c:v>750</c:v>
                </c:pt>
                <c:pt idx="20">
                  <c:v>755.78947368421</c:v>
                </c:pt>
                <c:pt idx="21">
                  <c:v>676.25</c:v>
                </c:pt>
                <c:pt idx="22">
                  <c:v>689.285714285714</c:v>
                </c:pt>
                <c:pt idx="23">
                  <c:v>763.846153846154</c:v>
                </c:pt>
                <c:pt idx="24">
                  <c:v>802</c:v>
                </c:pt>
                <c:pt idx="25">
                  <c:v>741.428571428571</c:v>
                </c:pt>
                <c:pt idx="26">
                  <c:v>795</c:v>
                </c:pt>
                <c:pt idx="27">
                  <c:v>752.352941176471</c:v>
                </c:pt>
                <c:pt idx="28">
                  <c:v>757.142857142857</c:v>
                </c:pt>
                <c:pt idx="29">
                  <c:v>734.166666666667</c:v>
                </c:pt>
                <c:pt idx="30">
                  <c:v>715</c:v>
                </c:pt>
                <c:pt idx="31">
                  <c:v>645.833333333333</c:v>
                </c:pt>
                <c:pt idx="32">
                  <c:v>792</c:v>
                </c:pt>
                <c:pt idx="33">
                  <c:v>822</c:v>
                </c:pt>
                <c:pt idx="34">
                  <c:v>800.625</c:v>
                </c:pt>
                <c:pt idx="35">
                  <c:v>781</c:v>
                </c:pt>
                <c:pt idx="36">
                  <c:v>723.888888888889</c:v>
                </c:pt>
                <c:pt idx="37">
                  <c:v>817</c:v>
                </c:pt>
                <c:pt idx="38">
                  <c:v>715</c:v>
                </c:pt>
                <c:pt idx="39">
                  <c:v>783.75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723.846153846154</c:v>
                </c:pt>
                <c:pt idx="43">
                  <c:v>735</c:v>
                </c:pt>
                <c:pt idx="44">
                  <c:v>736.666666666667</c:v>
                </c:pt>
                <c:pt idx="45">
                  <c:v>750.333333333333</c:v>
                </c:pt>
                <c:pt idx="46">
                  <c:v>745.909090909091</c:v>
                </c:pt>
                <c:pt idx="47">
                  <c:v>763.846153846154</c:v>
                </c:pt>
                <c:pt idx="48">
                  <c:v>795</c:v>
                </c:pt>
                <c:pt idx="49">
                  <c:v>804.583333333333</c:v>
                </c:pt>
                <c:pt idx="50">
                  <c:v>710</c:v>
                </c:pt>
                <c:pt idx="51">
                  <c:v>783.333333333333</c:v>
                </c:pt>
                <c:pt idx="52">
                  <c:v>740</c:v>
                </c:pt>
                <c:pt idx="53">
                  <c:v>699.285714285714</c:v>
                </c:pt>
                <c:pt idx="54">
                  <c:v>743.333333333333</c:v>
                </c:pt>
                <c:pt idx="55">
                  <c:v>725</c:v>
                </c:pt>
                <c:pt idx="56">
                  <c:v>703.333333333333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755.294117647059</c:v>
                </c:pt>
                <c:pt idx="60">
                  <c:v>740.588235294118</c:v>
                </c:pt>
                <c:pt idx="61">
                  <c:v>748.5</c:v>
                </c:pt>
                <c:pt idx="62">
                  <c:v>737.916666666667</c:v>
                </c:pt>
                <c:pt idx="63">
                  <c:v>682.5</c:v>
                </c:pt>
                <c:pt idx="64">
                  <c:v>738.25</c:v>
                </c:pt>
                <c:pt idx="65">
                  <c:v>715</c:v>
                </c:pt>
                <c:pt idx="66">
                  <c:v>727.222222222222</c:v>
                </c:pt>
                <c:pt idx="67">
                  <c:v>695</c:v>
                </c:pt>
                <c:pt idx="68">
                  <c:v>712.4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</c:numCache>
            </c:numRef>
          </c:yVal>
        </c:ser>
        <c:ser>
          <c:idx val="1"/>
          <c:order val="1"/>
          <c:tx>
            <c:strRef>
              <c:f>"Littérature"</c:f>
              <c:strCache>
                <c:ptCount val="1"/>
                <c:pt idx="0">
                  <c:v>Littérature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marker>
            <c:size val="7"/>
          </c:marker>
          <c:xVal>
            <c:numRef>
              <c:f>'RipplesSpacing-Litteratur'!$Q$2:$Q$40</c:f>
              <c:numCache>
                <c:formatCode>General</c:formatCode>
                <c:ptCount val="39"/>
                <c:pt idx="0">
                  <c:v>212000000000000</c:v>
                </c:pt>
                <c:pt idx="1">
                  <c:v/>
                </c:pt>
                <c:pt idx="2">
                  <c:v>424000000000000</c:v>
                </c:pt>
                <c:pt idx="3">
                  <c:v>2120000000000000</c:v>
                </c:pt>
                <c:pt idx="4">
                  <c:v>29230769230769.2</c:v>
                </c:pt>
                <c:pt idx="5">
                  <c:v>16153846153846.2</c:v>
                </c:pt>
                <c:pt idx="6">
                  <c:v>2500000000000000</c:v>
                </c:pt>
                <c:pt idx="7">
                  <c:v>16153846153846.2</c:v>
                </c:pt>
                <c:pt idx="8">
                  <c:v>16153846153846.2</c:v>
                </c:pt>
                <c:pt idx="9">
                  <c:v>16153846153846.2</c:v>
                </c:pt>
                <c:pt idx="10">
                  <c:v>32307692307692.3</c:v>
                </c:pt>
                <c:pt idx="11">
                  <c:v>0</c:v>
                </c:pt>
                <c:pt idx="12">
                  <c:v>58296087376011.6</c:v>
                </c:pt>
                <c:pt idx="13">
                  <c:v>0</c:v>
                </c:pt>
                <c:pt idx="14">
                  <c:v>0</c:v>
                </c:pt>
                <c:pt idx="15">
                  <c:v>58296087376011.6</c:v>
                </c:pt>
                <c:pt idx="16">
                  <c:v>855263157894737</c:v>
                </c:pt>
                <c:pt idx="17">
                  <c:v>0</c:v>
                </c:pt>
                <c:pt idx="18">
                  <c:v>323076923076923</c:v>
                </c:pt>
                <c:pt idx="19">
                  <c:v>1230769230769230</c:v>
                </c:pt>
                <c:pt idx="20">
                  <c:v>11538461538461500</c:v>
                </c:pt>
                <c:pt idx="21">
                  <c:v>153846153846154</c:v>
                </c:pt>
                <c:pt idx="22">
                  <c:v>0</c:v>
                </c:pt>
                <c:pt idx="23">
                  <c:v>444444444444444</c:v>
                </c:pt>
                <c:pt idx="24">
                  <c:v>1148000000000000</c:v>
                </c:pt>
                <c:pt idx="25">
                  <c:v>3750000000000000</c:v>
                </c:pt>
                <c:pt idx="26">
                  <c:v>1615384615384620</c:v>
                </c:pt>
                <c:pt idx="27">
                  <c:v>5000000000</c:v>
                </c:pt>
                <c:pt idx="28">
                  <c:v>3230769230769230</c:v>
                </c:pt>
                <c:pt idx="29">
                  <c:v>3461538461538460</c:v>
                </c:pt>
                <c:pt idx="30">
                  <c:v>4000000000000000</c:v>
                </c:pt>
                <c:pt idx="31">
                  <c:v>3020000000000</c:v>
                </c:pt>
                <c:pt idx="32">
                  <c:v>3020000000000</c:v>
                </c:pt>
                <c:pt idx="33">
                  <c:v>500000000000000</c:v>
                </c:pt>
                <c:pt idx="34">
                  <c:v>3020000000000</c:v>
                </c:pt>
                <c:pt idx="35">
                  <c:v>394736842105263</c:v>
                </c:pt>
                <c:pt idx="36">
                  <c:v>394736842105263</c:v>
                </c:pt>
                <c:pt idx="37">
                  <c:v>3020000000000</c:v>
                </c:pt>
                <c:pt idx="38">
                  <c:v>1500000000000000</c:v>
                </c:pt>
              </c:numCache>
            </c:numRef>
          </c:xVal>
          <c:yVal>
            <c:numRef>
              <c:f>'RipplesSpacing-Litteratur'!$E$2:$E$40</c:f>
              <c:numCache>
                <c:formatCode>General</c:formatCode>
                <c:ptCount val="39"/>
                <c:pt idx="0">
                  <c:v>665</c:v>
                </c:pt>
                <c:pt idx="1">
                  <c:v>2000</c:v>
                </c:pt>
                <c:pt idx="2">
                  <c:v>610</c:v>
                </c:pt>
                <c:pt idx="3">
                  <c:v>574</c:v>
                </c:pt>
                <c:pt idx="4">
                  <c:v>770</c:v>
                </c:pt>
                <c:pt idx="5">
                  <c:v>700</c:v>
                </c:pt>
                <c:pt idx="6">
                  <c:v>685.78125</c:v>
                </c:pt>
                <c:pt idx="7">
                  <c:v>714.761904761905</c:v>
                </c:pt>
                <c:pt idx="8">
                  <c:v>745.526315789474</c:v>
                </c:pt>
                <c:pt idx="9">
                  <c:v>747.105263157895</c:v>
                </c:pt>
                <c:pt idx="10">
                  <c:v>681</c:v>
                </c:pt>
                <c:pt idx="11">
                  <c:v>1600</c:v>
                </c:pt>
                <c:pt idx="12">
                  <c:v>430</c:v>
                </c:pt>
                <c:pt idx="13">
                  <c:v>1050</c:v>
                </c:pt>
                <c:pt idx="14">
                  <c:v>650</c:v>
                </c:pt>
                <c:pt idx="15">
                  <c:v>1738.75</c:v>
                </c:pt>
                <c:pt idx="16">
                  <c:v>550.833333333333</c:v>
                </c:pt>
                <c:pt idx="17">
                  <c:v>585.909090909091</c:v>
                </c:pt>
                <c:pt idx="18">
                  <c:v>595.5</c:v>
                </c:pt>
                <c:pt idx="19">
                  <c:v>157.068965517241</c:v>
                </c:pt>
                <c:pt idx="20">
                  <c:v>136.333333333333</c:v>
                </c:pt>
                <c:pt idx="21">
                  <c:v>590.769230769231</c:v>
                </c:pt>
                <c:pt idx="22">
                  <c:v>700</c:v>
                </c:pt>
                <c:pt idx="23">
                  <c:v>829.444444444444</c:v>
                </c:pt>
                <c:pt idx="24">
                  <c:v>772.5</c:v>
                </c:pt>
                <c:pt idx="25">
                  <c:v>307.625</c:v>
                </c:pt>
                <c:pt idx="26">
                  <c:v>575.56</c:v>
                </c:pt>
                <c:pt idx="27">
                  <c:v>561.111111111111</c:v>
                </c:pt>
                <c:pt idx="28">
                  <c:v>560.6</c:v>
                </c:pt>
                <c:pt idx="29">
                  <c:v>613.5</c:v>
                </c:pt>
                <c:pt idx="30">
                  <c:v>205</c:v>
                </c:pt>
                <c:pt idx="31">
                  <c:v>680</c:v>
                </c:pt>
                <c:pt idx="32">
                  <c:v>685</c:v>
                </c:pt>
                <c:pt idx="33">
                  <c:v>136</c:v>
                </c:pt>
                <c:pt idx="34">
                  <c:v>725</c:v>
                </c:pt>
                <c:pt idx="35">
                  <c:v>71</c:v>
                </c:pt>
                <c:pt idx="36">
                  <c:v>194.583333333333</c:v>
                </c:pt>
                <c:pt idx="37">
                  <c:v>725</c:v>
                </c:pt>
                <c:pt idx="38">
                  <c:v>121</c:v>
                </c:pt>
              </c:numCache>
            </c:numRef>
          </c:yVal>
        </c:ser>
        <c:axId val="83879374"/>
        <c:axId val="99747689"/>
      </c:scatterChart>
      <c:valAx>
        <c:axId val="83879374"/>
        <c:scaling>
          <c:orientation val="minMax"/>
        </c:scaling>
        <c:delete val="1"/>
        <c:axPos val="b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99747689"/>
        <c:crossesAt val="0"/>
      </c:valAx>
      <c:valAx>
        <c:axId val="99747689"/>
        <c:scaling>
          <c:orientation val="minMax"/>
        </c:scaling>
        <c:delete val="1"/>
        <c:axPos val="l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83879374"/>
        <c:crossesAt val="0"/>
      </c:valAx>
      <c:spPr>
        <a:solidFill>
          <a:srgbClr val="ffffff"/>
        </a:solidFill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</c:chart>
  <c:spPr>
    <a:noFill/>
    <a:ln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242640</xdr:colOff>
      <xdr:row>36</xdr:row>
      <xdr:rowOff>149040</xdr:rowOff>
    </xdr:to>
    <xdr:graphicFrame>
      <xdr:nvGraphicFramePr>
        <xdr:cNvPr id="0" name="Graphique 1"/>
        <xdr:cNvGraphicFramePr/>
      </xdr:nvGraphicFramePr>
      <xdr:xfrm>
        <a:off x="27000" y="0"/>
        <a:ext cx="9290880" cy="600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750960</xdr:colOff>
      <xdr:row>4</xdr:row>
      <xdr:rowOff>118800</xdr:rowOff>
    </xdr:from>
    <xdr:to>
      <xdr:col>9</xdr:col>
      <xdr:colOff>44280</xdr:colOff>
      <xdr:row>22</xdr:row>
      <xdr:rowOff>163080</xdr:rowOff>
    </xdr:to>
    <xdr:sp>
      <xdr:nvSpPr>
        <xdr:cNvPr id="1" name="Line 1"/>
        <xdr:cNvSpPr/>
      </xdr:nvSpPr>
      <xdr:spPr>
        <a:xfrm flipV="1">
          <a:off x="3019680" y="768960"/>
          <a:ext cx="3831120" cy="2970360"/>
        </a:xfrm>
        <a:prstGeom prst="line">
          <a:avLst/>
        </a:prstGeom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610560</xdr:colOff>
      <xdr:row>1</xdr:row>
      <xdr:rowOff>28080</xdr:rowOff>
    </xdr:from>
    <xdr:to>
      <xdr:col>8</xdr:col>
      <xdr:colOff>384480</xdr:colOff>
      <xdr:row>31</xdr:row>
      <xdr:rowOff>85320</xdr:rowOff>
    </xdr:to>
    <xdr:sp>
      <xdr:nvSpPr>
        <xdr:cNvPr id="2" name="Line 1"/>
        <xdr:cNvSpPr/>
      </xdr:nvSpPr>
      <xdr:spPr>
        <a:xfrm flipV="1">
          <a:off x="1366560" y="190440"/>
          <a:ext cx="5068080" cy="4934160"/>
        </a:xfrm>
        <a:prstGeom prst="line">
          <a:avLst/>
        </a:prstGeom>
        <a:ln w="9360">
          <a:solidFill>
            <a:srgbClr val="c0504d"/>
          </a:solidFill>
          <a:custDash>
            <a:ds d="140000" sp="105000"/>
          </a:custDash>
          <a:round/>
        </a:ln>
      </xdr:spPr>
    </xdr:sp>
    <xdr:clientData/>
  </xdr:twoCellAnchor>
  <xdr:twoCellAnchor editAs="absolute">
    <xdr:from>
      <xdr:col>4</xdr:col>
      <xdr:colOff>21960</xdr:colOff>
      <xdr:row>24</xdr:row>
      <xdr:rowOff>144000</xdr:rowOff>
    </xdr:from>
    <xdr:to>
      <xdr:col>6</xdr:col>
      <xdr:colOff>393120</xdr:colOff>
      <xdr:row>30</xdr:row>
      <xdr:rowOff>156240</xdr:rowOff>
    </xdr:to>
    <xdr:sp>
      <xdr:nvSpPr>
        <xdr:cNvPr id="3" name="CustomShape 1"/>
        <xdr:cNvSpPr/>
      </xdr:nvSpPr>
      <xdr:spPr>
        <a:xfrm>
          <a:off x="3047040" y="4045320"/>
          <a:ext cx="1883520" cy="987480"/>
        </a:xfrm>
        <a:prstGeom prst="ellipse">
          <a:avLst/>
        </a:prstGeom>
        <a:noFill/>
        <a:ln w="12600">
          <a:solidFill>
            <a:srgbClr val="3a5f8b"/>
          </a:solidFill>
          <a:round/>
        </a:ln>
      </xdr:spPr>
      <xdr:txBody>
        <a:bodyPr lIns="90000" rIns="90000" tIns="45000" bIns="45000"/>
        <a:p>
          <a:pPr algn="ctr">
            <a:lnSpc>
              <a:spcPct val="100000"/>
            </a:lnSpc>
          </a:pPr>
          <a:r>
            <a:rPr lang="en-US" sz="1400">
              <a:solidFill>
                <a:srgbClr val="000000"/>
              </a:solidFill>
              <a:latin typeface="Calibri"/>
            </a:rPr>
            <a:t>"HSFL"</a:t>
          </a:r>
          <a:endParaRPr/>
        </a:p>
      </xdr:txBody>
    </xdr:sp>
    <xdr:clientData/>
  </xdr:twoCellAnchor>
  <xdr:twoCellAnchor editAs="absolute">
    <xdr:from>
      <xdr:col>3</xdr:col>
      <xdr:colOff>158760</xdr:colOff>
      <xdr:row>21</xdr:row>
      <xdr:rowOff>19080</xdr:rowOff>
    </xdr:from>
    <xdr:to>
      <xdr:col>10</xdr:col>
      <xdr:colOff>81000</xdr:colOff>
      <xdr:row>27</xdr:row>
      <xdr:rowOff>59040</xdr:rowOff>
    </xdr:to>
    <xdr:sp>
      <xdr:nvSpPr>
        <xdr:cNvPr id="4" name="CustomShape 1"/>
        <xdr:cNvSpPr/>
      </xdr:nvSpPr>
      <xdr:spPr>
        <a:xfrm rot="19383600">
          <a:off x="2208960" y="1763280"/>
          <a:ext cx="5216040" cy="1015560"/>
        </a:xfrm>
        <a:prstGeom prst="ellipse">
          <a:avLst/>
        </a:prstGeom>
        <a:noFill/>
        <a:ln w="12600">
          <a:solidFill>
            <a:srgbClr val="3a5f8b"/>
          </a:solidFill>
          <a:round/>
        </a:ln>
      </xdr:spPr>
      <xdr:txBody>
        <a:bodyPr lIns="90000" rIns="90000" tIns="45000" bIns="45000"/>
        <a:p>
          <a:pPr algn="ctr">
            <a:lnSpc>
              <a:spcPct val="100000"/>
            </a:lnSpc>
          </a:pPr>
          <a:r>
            <a:rPr lang="en-US" sz="1600">
              <a:solidFill>
                <a:srgbClr val="000000"/>
              </a:solidFill>
              <a:latin typeface="Calibri"/>
            </a:rPr>
            <a:t>"LSFL"</a:t>
          </a:r>
          <a:endParaRPr/>
        </a:p>
      </xdr:txBody>
    </xdr:sp>
    <xdr:clientData/>
  </xdr:twoCellAnchor>
  <xdr:twoCellAnchor editAs="absolute">
    <xdr:from>
      <xdr:col>5</xdr:col>
      <xdr:colOff>540720</xdr:colOff>
      <xdr:row>18</xdr:row>
      <xdr:rowOff>43920</xdr:rowOff>
    </xdr:from>
    <xdr:to>
      <xdr:col>7</xdr:col>
      <xdr:colOff>234000</xdr:colOff>
      <xdr:row>23</xdr:row>
      <xdr:rowOff>56520</xdr:rowOff>
    </xdr:to>
    <xdr:sp>
      <xdr:nvSpPr>
        <xdr:cNvPr id="5" name="CustomShape 1"/>
        <xdr:cNvSpPr/>
      </xdr:nvSpPr>
      <xdr:spPr>
        <a:xfrm>
          <a:off x="4321800" y="2970000"/>
          <a:ext cx="1206000" cy="825120"/>
        </a:xfrm>
        <a:prstGeom prst="ellipse">
          <a:avLst/>
        </a:prstGeom>
        <a:noFill/>
        <a:ln w="12600">
          <a:solidFill>
            <a:srgbClr val="3a5f8b"/>
          </a:solidFill>
          <a:round/>
        </a:ln>
      </xdr:spPr>
      <xdr:txBody>
        <a:bodyPr lIns="90000" rIns="90000" tIns="45000" bIns="45000" anchor="b"/>
        <a:p>
          <a:pPr algn="r">
            <a:lnSpc>
              <a:spcPct val="100000"/>
            </a:lnSpc>
          </a:pPr>
          <a:r>
            <a:rPr lang="en-US" sz="1400">
              <a:solidFill>
                <a:srgbClr val="000000"/>
              </a:solidFill>
              <a:latin typeface="Calibri"/>
            </a:rPr>
            <a:t>Autres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255600</xdr:colOff>
      <xdr:row>37</xdr:row>
      <xdr:rowOff>72000</xdr:rowOff>
    </xdr:to>
    <xdr:graphicFrame>
      <xdr:nvGraphicFramePr>
        <xdr:cNvPr id="6" name="Graphique 1"/>
        <xdr:cNvGraphicFramePr/>
      </xdr:nvGraphicFramePr>
      <xdr:xfrm>
        <a:off x="27000" y="0"/>
        <a:ext cx="9303840" cy="608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71640</xdr:colOff>
      <xdr:row>1</xdr:row>
      <xdr:rowOff>159840</xdr:rowOff>
    </xdr:from>
    <xdr:to>
      <xdr:col>10</xdr:col>
      <xdr:colOff>489600</xdr:colOff>
      <xdr:row>20</xdr:row>
      <xdr:rowOff>141120</xdr:rowOff>
    </xdr:to>
    <xdr:sp>
      <xdr:nvSpPr>
        <xdr:cNvPr id="7" name="Line 1"/>
        <xdr:cNvSpPr/>
      </xdr:nvSpPr>
      <xdr:spPr>
        <a:xfrm>
          <a:off x="827640" y="322200"/>
          <a:ext cx="7224480" cy="3070080"/>
        </a:xfrm>
        <a:prstGeom prst="line">
          <a:avLst/>
        </a:prstGeom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2</xdr:col>
      <xdr:colOff>101160</xdr:colOff>
      <xdr:row>15</xdr:row>
      <xdr:rowOff>9000</xdr:rowOff>
    </xdr:from>
    <xdr:to>
      <xdr:col>3</xdr:col>
      <xdr:colOff>711720</xdr:colOff>
      <xdr:row>19</xdr:row>
      <xdr:rowOff>18000</xdr:rowOff>
    </xdr:to>
    <xdr:sp>
      <xdr:nvSpPr>
        <xdr:cNvPr id="8" name="CustomShape 1"/>
        <xdr:cNvSpPr/>
      </xdr:nvSpPr>
      <xdr:spPr>
        <a:xfrm>
          <a:off x="1613520" y="2447280"/>
          <a:ext cx="1366920" cy="659160"/>
        </a:xfrm>
        <a:prstGeom prst="ellipse">
          <a:avLst/>
        </a:prstGeom>
        <a:noFill/>
        <a:ln w="25560">
          <a:solidFill>
            <a:srgbClr val="ffffff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1000">
              <a:solidFill>
                <a:srgbClr val="000000"/>
              </a:solidFill>
              <a:latin typeface="Book Antiqua"/>
            </a:rPr>
            <a:t>Si, λ=</a:t>
          </a:r>
          <a:r>
            <a:rPr lang="en-US" sz="1000">
              <a:solidFill>
                <a:srgbClr val="000000"/>
              </a:solidFill>
              <a:latin typeface="Calibri"/>
            </a:rPr>
            <a:t>1300 nm </a:t>
          </a:r>
          <a:endParaRPr/>
        </a:p>
      </xdr:txBody>
    </xdr:sp>
    <xdr:clientData/>
  </xdr:twoCellAnchor>
  <xdr:twoCellAnchor editAs="absolute">
    <xdr:from>
      <xdr:col>6</xdr:col>
      <xdr:colOff>434160</xdr:colOff>
      <xdr:row>23</xdr:row>
      <xdr:rowOff>2880</xdr:rowOff>
    </xdr:from>
    <xdr:to>
      <xdr:col>8</xdr:col>
      <xdr:colOff>401040</xdr:colOff>
      <xdr:row>28</xdr:row>
      <xdr:rowOff>24840</xdr:rowOff>
    </xdr:to>
    <xdr:sp>
      <xdr:nvSpPr>
        <xdr:cNvPr id="9" name="CustomShape 1"/>
        <xdr:cNvSpPr/>
      </xdr:nvSpPr>
      <xdr:spPr>
        <a:xfrm>
          <a:off x="4971600" y="3741480"/>
          <a:ext cx="1479600" cy="834840"/>
        </a:xfrm>
        <a:prstGeom prst="ellipse">
          <a:avLst/>
        </a:prstGeom>
        <a:noFill/>
        <a:ln w="25560">
          <a:solidFill>
            <a:srgbClr val="c0504d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900">
              <a:solidFill>
                <a:srgbClr val="000000"/>
              </a:solidFill>
              <a:latin typeface="Book Antiqua"/>
            </a:rPr>
            <a:t>Si &lt;001&gt;, Ripples "HSFL"</a:t>
          </a:r>
          <a:r>
            <a:rPr lang="en-US" sz="900">
              <a:solidFill>
                <a:srgbClr val="000000"/>
              </a:solidFill>
              <a:latin typeface="Book Antiqua"/>
            </a:rPr>
            <a:t>
</a:t>
          </a:r>
          <a:r>
            <a:rPr lang="en-US" sz="900">
              <a:solidFill>
                <a:srgbClr val="000000"/>
              </a:solidFill>
              <a:latin typeface="Book Antiqua"/>
            </a:rPr>
            <a:t>F= 0.04 J/cm²</a:t>
          </a:r>
          <a:r>
            <a:rPr lang="en-US" sz="1050">
              <a:solidFill>
                <a:srgbClr val="000000"/>
              </a:solidFill>
              <a:latin typeface="Book Antiqua"/>
            </a:rPr>
            <a:t>
</a:t>
          </a:r>
          <a:r>
            <a:rPr lang="en-US" sz="600">
              <a:solidFill>
                <a:srgbClr val="000000"/>
              </a:solidFill>
              <a:latin typeface="Book Antiqua"/>
            </a:rPr>
            <a:t>(Reif, MSE B 134, 2006)</a:t>
          </a:r>
          <a:endParaRPr/>
        </a:p>
      </xdr:txBody>
    </xdr:sp>
    <xdr:clientData/>
  </xdr:twoCellAnchor>
  <xdr:twoCellAnchor editAs="absolute">
    <xdr:from>
      <xdr:col>7</xdr:col>
      <xdr:colOff>33480</xdr:colOff>
      <xdr:row>3</xdr:row>
      <xdr:rowOff>95400</xdr:rowOff>
    </xdr:from>
    <xdr:to>
      <xdr:col>9</xdr:col>
      <xdr:colOff>510480</xdr:colOff>
      <xdr:row>5</xdr:row>
      <xdr:rowOff>1440</xdr:rowOff>
    </xdr:to>
    <xdr:sp>
      <xdr:nvSpPr>
        <xdr:cNvPr id="10" name="CustomShape 1"/>
        <xdr:cNvSpPr/>
      </xdr:nvSpPr>
      <xdr:spPr>
        <a:xfrm>
          <a:off x="5327280" y="582840"/>
          <a:ext cx="1989720" cy="231120"/>
        </a:xfrm>
        <a:prstGeom prst="ellipse">
          <a:avLst/>
        </a:prstGeom>
        <a:noFill/>
        <a:ln w="3240">
          <a:solidFill>
            <a:srgbClr val="0070c0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1050">
              <a:solidFill>
                <a:srgbClr val="000000"/>
              </a:solidFill>
              <a:latin typeface="Calibri"/>
            </a:rPr>
            <a:t>Si &lt;100&gt;, F = 0.2 J/cm²</a:t>
          </a:r>
          <a:endParaRPr/>
        </a:p>
      </xdr:txBody>
    </xdr:sp>
    <xdr:clientData/>
  </xdr:twoCellAnchor>
  <xdr:twoCellAnchor editAs="absolute">
    <xdr:from>
      <xdr:col>1</xdr:col>
      <xdr:colOff>71640</xdr:colOff>
      <xdr:row>1</xdr:row>
      <xdr:rowOff>159840</xdr:rowOff>
    </xdr:from>
    <xdr:to>
      <xdr:col>10</xdr:col>
      <xdr:colOff>489600</xdr:colOff>
      <xdr:row>20</xdr:row>
      <xdr:rowOff>141120</xdr:rowOff>
    </xdr:to>
    <xdr:sp>
      <xdr:nvSpPr>
        <xdr:cNvPr id="11" name="Line 1"/>
        <xdr:cNvSpPr/>
      </xdr:nvSpPr>
      <xdr:spPr>
        <a:xfrm>
          <a:off x="827640" y="322200"/>
          <a:ext cx="7224480" cy="3070080"/>
        </a:xfrm>
        <a:prstGeom prst="line">
          <a:avLst/>
        </a:prstGeom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1</xdr:col>
      <xdr:colOff>50760</xdr:colOff>
      <xdr:row>8</xdr:row>
      <xdr:rowOff>100080</xdr:rowOff>
    </xdr:from>
    <xdr:to>
      <xdr:col>10</xdr:col>
      <xdr:colOff>494280</xdr:colOff>
      <xdr:row>27</xdr:row>
      <xdr:rowOff>115560</xdr:rowOff>
    </xdr:to>
    <xdr:sp>
      <xdr:nvSpPr>
        <xdr:cNvPr id="12" name="Line 1"/>
        <xdr:cNvSpPr/>
      </xdr:nvSpPr>
      <xdr:spPr>
        <a:xfrm>
          <a:off x="806760" y="1400400"/>
          <a:ext cx="7250040" cy="3104280"/>
        </a:xfrm>
        <a:prstGeom prst="line">
          <a:avLst/>
        </a:prstGeom>
        <a:ln w="9360">
          <a:solidFill>
            <a:srgbClr val="000000"/>
          </a:solidFill>
          <a:round/>
        </a:ln>
      </xdr:spPr>
    </xdr:sp>
    <xdr:clientData/>
  </xdr:twoCellAnchor>
  <xdr:twoCellAnchor editAs="absolute">
    <xdr:from>
      <xdr:col>6</xdr:col>
      <xdr:colOff>470520</xdr:colOff>
      <xdr:row>11</xdr:row>
      <xdr:rowOff>28800</xdr:rowOff>
    </xdr:from>
    <xdr:to>
      <xdr:col>9</xdr:col>
      <xdr:colOff>270000</xdr:colOff>
      <xdr:row>13</xdr:row>
      <xdr:rowOff>24840</xdr:rowOff>
    </xdr:to>
    <xdr:sp>
      <xdr:nvSpPr>
        <xdr:cNvPr id="13" name="CustomShape 1"/>
        <xdr:cNvSpPr/>
      </xdr:nvSpPr>
      <xdr:spPr>
        <a:xfrm>
          <a:off x="5007960" y="1816920"/>
          <a:ext cx="2068560" cy="321120"/>
        </a:xfrm>
        <a:prstGeom prst="ellipse">
          <a:avLst/>
        </a:prstGeom>
        <a:noFill/>
        <a:ln w="3240">
          <a:solidFill>
            <a:srgbClr val="c0504d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1050">
              <a:solidFill>
                <a:srgbClr val="000000"/>
              </a:solidFill>
              <a:latin typeface="Calibri"/>
            </a:rPr>
            <a:t>Si &lt;111&gt;, F=0.45 J/cm² </a:t>
          </a:r>
          <a:r>
            <a:rPr lang="en-US" sz="1050">
              <a:solidFill>
                <a:srgbClr val="000000"/>
              </a:solidFill>
              <a:latin typeface="Calibri"/>
            </a:rPr>
            <a:t>
</a:t>
          </a:r>
          <a:r>
            <a:rPr lang="en-US" sz="900">
              <a:solidFill>
                <a:srgbClr val="000000"/>
              </a:solidFill>
              <a:latin typeface="Calibri"/>
            </a:rPr>
            <a:t>(Daminelli, TSF 467, 2004)</a:t>
          </a:r>
          <a:endParaRPr/>
        </a:p>
      </xdr:txBody>
    </xdr:sp>
    <xdr:clientData/>
  </xdr:twoCellAnchor>
  <xdr:twoCellAnchor editAs="absolute">
    <xdr:from>
      <xdr:col>6</xdr:col>
      <xdr:colOff>508320</xdr:colOff>
      <xdr:row>12</xdr:row>
      <xdr:rowOff>120600</xdr:rowOff>
    </xdr:from>
    <xdr:to>
      <xdr:col>9</xdr:col>
      <xdr:colOff>376200</xdr:colOff>
      <xdr:row>15</xdr:row>
      <xdr:rowOff>71640</xdr:rowOff>
    </xdr:to>
    <xdr:sp>
      <xdr:nvSpPr>
        <xdr:cNvPr id="14" name="CustomShape 1"/>
        <xdr:cNvSpPr/>
      </xdr:nvSpPr>
      <xdr:spPr>
        <a:xfrm>
          <a:off x="5045760" y="2071080"/>
          <a:ext cx="2136960" cy="438840"/>
        </a:xfrm>
        <a:prstGeom prst="ellipse">
          <a:avLst/>
        </a:prstGeom>
        <a:noFill/>
        <a:ln w="3240">
          <a:solidFill>
            <a:srgbClr val="c0504d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1050">
              <a:solidFill>
                <a:srgbClr val="000000"/>
              </a:solidFill>
              <a:latin typeface="Calibri"/>
            </a:rPr>
            <a:t>Si &lt;111&gt;, F=0.42 J/cm²</a:t>
          </a:r>
          <a:endParaRPr/>
        </a:p>
        <a:p>
          <a:pPr algn="ctr">
            <a:lnSpc>
              <a:spcPct val="100000"/>
            </a:lnSpc>
          </a:pPr>
          <a:r>
            <a:rPr lang="en-US" sz="900">
              <a:solidFill>
                <a:srgbClr val="000000"/>
              </a:solidFill>
              <a:latin typeface="Calibri"/>
            </a:rPr>
            <a:t>(Bonse, JAP 108, 2010)</a:t>
          </a:r>
          <a:endParaRPr/>
        </a:p>
      </xdr:txBody>
    </xdr:sp>
    <xdr:clientData/>
  </xdr:twoCellAnchor>
  <xdr:twoCellAnchor editAs="absolute">
    <xdr:from>
      <xdr:col>3</xdr:col>
      <xdr:colOff>364680</xdr:colOff>
      <xdr:row>2</xdr:row>
      <xdr:rowOff>123120</xdr:rowOff>
    </xdr:from>
    <xdr:to>
      <xdr:col>6</xdr:col>
      <xdr:colOff>695520</xdr:colOff>
      <xdr:row>5</xdr:row>
      <xdr:rowOff>16200</xdr:rowOff>
    </xdr:to>
    <xdr:sp>
      <xdr:nvSpPr>
        <xdr:cNvPr id="15" name="CustomShape 1"/>
        <xdr:cNvSpPr/>
      </xdr:nvSpPr>
      <xdr:spPr>
        <a:xfrm>
          <a:off x="2633400" y="448200"/>
          <a:ext cx="2599560" cy="380520"/>
        </a:xfrm>
        <a:prstGeom prst="ellipse">
          <a:avLst/>
        </a:prstGeom>
        <a:noFill/>
        <a:ln w="3240">
          <a:solidFill>
            <a:srgbClr val="c0504d"/>
          </a:solidFill>
          <a:round/>
        </a:ln>
      </xdr:spPr>
      <xdr:txBody>
        <a:bodyPr lIns="90000" rIns="90000" tIns="45000" bIns="45000" anchor="ctr"/>
        <a:p>
          <a:pPr>
            <a:lnSpc>
              <a:spcPct val="100000"/>
            </a:lnSpc>
          </a:pPr>
          <a:r>
            <a:rPr lang="en-US" sz="1100">
              <a:solidFill>
                <a:srgbClr val="000000"/>
              </a:solidFill>
              <a:latin typeface="Book Antiqua"/>
            </a:rPr>
            <a:t>Si &lt;111&gt;, F &lt; 0.45 mJ/cm²</a:t>
          </a:r>
          <a:r>
            <a:rPr lang="en-US" sz="1100">
              <a:solidFill>
                <a:srgbClr val="000000"/>
              </a:solidFill>
              <a:latin typeface="Book Antiqua"/>
            </a:rPr>
            <a:t>
</a:t>
          </a:r>
          <a:r>
            <a:rPr lang="en-US" sz="900">
              <a:solidFill>
                <a:srgbClr val="000000"/>
              </a:solidFill>
              <a:latin typeface="Book Antiqua"/>
            </a:rPr>
            <a:t>(B. Tan, JMM 16 1 2006)</a:t>
          </a:r>
          <a:endParaRPr/>
        </a:p>
      </xdr:txBody>
    </xdr:sp>
    <xdr:clientData/>
  </xdr:twoCellAnchor>
  <xdr:twoCellAnchor editAs="absolute">
    <xdr:from>
      <xdr:col>8</xdr:col>
      <xdr:colOff>359640</xdr:colOff>
      <xdr:row>5</xdr:row>
      <xdr:rowOff>106200</xdr:rowOff>
    </xdr:from>
    <xdr:to>
      <xdr:col>10</xdr:col>
      <xdr:colOff>651240</xdr:colOff>
      <xdr:row>9</xdr:row>
      <xdr:rowOff>127800</xdr:rowOff>
    </xdr:to>
    <xdr:sp>
      <xdr:nvSpPr>
        <xdr:cNvPr id="16" name="CustomShape 1"/>
        <xdr:cNvSpPr/>
      </xdr:nvSpPr>
      <xdr:spPr>
        <a:xfrm>
          <a:off x="6409800" y="918720"/>
          <a:ext cx="1803960" cy="672120"/>
        </a:xfrm>
        <a:prstGeom prst="ellipse">
          <a:avLst/>
        </a:prstGeom>
        <a:noFill/>
        <a:ln w="3240">
          <a:solidFill>
            <a:srgbClr val="c0504d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1050">
              <a:solidFill>
                <a:srgbClr val="000000"/>
              </a:solidFill>
              <a:latin typeface="Calibri"/>
            </a:rPr>
            <a:t>Si &lt;100&gt;, F=0.19 J/cm²</a:t>
          </a:r>
          <a:r>
            <a:rPr lang="en-US" sz="1050">
              <a:solidFill>
                <a:srgbClr val="000000"/>
              </a:solidFill>
              <a:latin typeface="Calibri"/>
            </a:rPr>
            <a:t>
</a:t>
          </a:r>
          <a:r>
            <a:rPr lang="en-US" sz="900">
              <a:solidFill>
                <a:srgbClr val="000000"/>
              </a:solidFill>
              <a:latin typeface="Calibri"/>
            </a:rPr>
            <a:t>(Costache, APA 79, 2004)</a:t>
          </a:r>
          <a:endParaRPr/>
        </a:p>
      </xdr:txBody>
    </xdr:sp>
    <xdr:clientData/>
  </xdr:twoCellAnchor>
  <xdr:twoCellAnchor editAs="absolute">
    <xdr:from>
      <xdr:col>9</xdr:col>
      <xdr:colOff>522000</xdr:colOff>
      <xdr:row>9</xdr:row>
      <xdr:rowOff>139320</xdr:rowOff>
    </xdr:from>
    <xdr:to>
      <xdr:col>9</xdr:col>
      <xdr:colOff>678600</xdr:colOff>
      <xdr:row>11</xdr:row>
      <xdr:rowOff>82800</xdr:rowOff>
    </xdr:to>
    <xdr:sp>
      <xdr:nvSpPr>
        <xdr:cNvPr id="17" name="CustomShape 1"/>
        <xdr:cNvSpPr/>
      </xdr:nvSpPr>
      <xdr:spPr>
        <a:xfrm rot="5400000">
          <a:off x="7115760" y="1546200"/>
          <a:ext cx="156600" cy="26856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len="med" type="arrow" w="med"/>
        </a:ln>
      </xdr:spPr>
    </xdr:sp>
    <xdr:clientData/>
  </xdr:twoCellAnchor>
  <xdr:twoCellAnchor editAs="absolute">
    <xdr:from>
      <xdr:col>9</xdr:col>
      <xdr:colOff>521280</xdr:colOff>
      <xdr:row>25</xdr:row>
      <xdr:rowOff>21960</xdr:rowOff>
    </xdr:from>
    <xdr:to>
      <xdr:col>12</xdr:col>
      <xdr:colOff>746640</xdr:colOff>
      <xdr:row>27</xdr:row>
      <xdr:rowOff>77760</xdr:rowOff>
    </xdr:to>
    <xdr:sp>
      <xdr:nvSpPr>
        <xdr:cNvPr id="18" name="CustomShape 1"/>
        <xdr:cNvSpPr/>
      </xdr:nvSpPr>
      <xdr:spPr>
        <a:xfrm flipH="1" rot="5400000">
          <a:off x="6271200" y="2647800"/>
          <a:ext cx="2494080" cy="38124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len="med" type="arrow" w="med"/>
        </a:ln>
      </xdr:spPr>
    </xdr:sp>
    <xdr:clientData/>
  </xdr:twoCellAnchor>
  <xdr:twoCellAnchor editAs="absolute">
    <xdr:from>
      <xdr:col>5</xdr:col>
      <xdr:colOff>381960</xdr:colOff>
      <xdr:row>6</xdr:row>
      <xdr:rowOff>83880</xdr:rowOff>
    </xdr:from>
    <xdr:to>
      <xdr:col>5</xdr:col>
      <xdr:colOff>572040</xdr:colOff>
      <xdr:row>10</xdr:row>
      <xdr:rowOff>83160</xdr:rowOff>
    </xdr:to>
    <xdr:sp>
      <xdr:nvSpPr>
        <xdr:cNvPr id="19" name="CustomShape 1"/>
        <xdr:cNvSpPr/>
      </xdr:nvSpPr>
      <xdr:spPr>
        <a:xfrm rot="5400000">
          <a:off x="3743280" y="829440"/>
          <a:ext cx="190080" cy="64944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len="med" type="arrow" w="med"/>
        </a:ln>
      </xdr:spPr>
    </xdr:sp>
    <xdr:clientData/>
  </xdr:twoCellAnchor>
  <xdr:twoCellAnchor editAs="absolute">
    <xdr:from>
      <xdr:col>7</xdr:col>
      <xdr:colOff>743760</xdr:colOff>
      <xdr:row>4</xdr:row>
      <xdr:rowOff>80640</xdr:rowOff>
    </xdr:from>
    <xdr:to>
      <xdr:col>9</xdr:col>
      <xdr:colOff>140400</xdr:colOff>
      <xdr:row>9</xdr:row>
      <xdr:rowOff>10800</xdr:rowOff>
    </xdr:to>
    <xdr:sp>
      <xdr:nvSpPr>
        <xdr:cNvPr id="20" name="CustomShape 1"/>
        <xdr:cNvSpPr/>
      </xdr:nvSpPr>
      <xdr:spPr>
        <a:xfrm rot="5400000">
          <a:off x="5211360" y="813960"/>
          <a:ext cx="909360" cy="74304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len="med" type="arrow" w="med"/>
        </a:ln>
      </xdr:spPr>
    </xdr:sp>
    <xdr:clientData/>
  </xdr:twoCellAnchor>
  <xdr:twoCellAnchor editAs="absolute">
    <xdr:from>
      <xdr:col>5</xdr:col>
      <xdr:colOff>152280</xdr:colOff>
      <xdr:row>5</xdr:row>
      <xdr:rowOff>16560</xdr:rowOff>
    </xdr:from>
    <xdr:to>
      <xdr:col>6</xdr:col>
      <xdr:colOff>549720</xdr:colOff>
      <xdr:row>7</xdr:row>
      <xdr:rowOff>139320</xdr:rowOff>
    </xdr:to>
    <xdr:sp>
      <xdr:nvSpPr>
        <xdr:cNvPr id="21" name="CustomShape 1"/>
        <xdr:cNvSpPr/>
      </xdr:nvSpPr>
      <xdr:spPr>
        <a:xfrm>
          <a:off x="3933360" y="829080"/>
          <a:ext cx="1153800" cy="447840"/>
        </a:xfrm>
        <a:prstGeom prst="straightConnector1">
          <a:avLst/>
        </a:prstGeom>
        <a:noFill/>
        <a:ln w="9360">
          <a:solidFill>
            <a:srgbClr val="4a7ebb"/>
          </a:solidFill>
          <a:round/>
          <a:tailEnd len="med" type="arrow" w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246240</xdr:colOff>
      <xdr:row>37</xdr:row>
      <xdr:rowOff>56160</xdr:rowOff>
    </xdr:to>
    <xdr:graphicFrame>
      <xdr:nvGraphicFramePr>
        <xdr:cNvPr id="22" name="Graphique 1"/>
        <xdr:cNvGraphicFramePr/>
      </xdr:nvGraphicFramePr>
      <xdr:xfrm>
        <a:off x="27000" y="0"/>
        <a:ext cx="9294480" cy="607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289080</xdr:colOff>
      <xdr:row>10</xdr:row>
      <xdr:rowOff>62280</xdr:rowOff>
    </xdr:from>
    <xdr:to>
      <xdr:col>3</xdr:col>
      <xdr:colOff>91440</xdr:colOff>
      <xdr:row>20</xdr:row>
      <xdr:rowOff>24120</xdr:rowOff>
    </xdr:to>
    <xdr:sp>
      <xdr:nvSpPr>
        <xdr:cNvPr id="23" name="CustomShape 1"/>
        <xdr:cNvSpPr/>
      </xdr:nvSpPr>
      <xdr:spPr>
        <a:xfrm>
          <a:off x="1801440" y="1687680"/>
          <a:ext cx="558720" cy="1587600"/>
        </a:xfrm>
        <a:prstGeom prst="downArrow">
          <a:avLst>
            <a:gd name="adj1" fmla="val 50000"/>
            <a:gd name="adj2" fmla="val 50000"/>
          </a:avLst>
        </a:prstGeom>
        <a:solidFill>
          <a:srgbClr val="ffffff"/>
        </a:solidFill>
        <a:ln w="25560">
          <a:solidFill>
            <a:srgbClr val="f79646"/>
          </a:solidFill>
          <a:round/>
        </a:ln>
      </xdr:spPr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lang="en-US" sz="2800">
              <a:solidFill>
                <a:srgbClr val="000000"/>
              </a:solidFill>
              <a:latin typeface="Calibri"/>
            </a:rPr>
            <a:t>N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248760</xdr:colOff>
      <xdr:row>37</xdr:row>
      <xdr:rowOff>52200</xdr:rowOff>
    </xdr:to>
    <xdr:graphicFrame>
      <xdr:nvGraphicFramePr>
        <xdr:cNvPr id="24" name="Graphique 1"/>
        <xdr:cNvGraphicFramePr/>
      </xdr:nvGraphicFramePr>
      <xdr:xfrm>
        <a:off x="27000" y="0"/>
        <a:ext cx="9297000" cy="6066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261000</xdr:colOff>
      <xdr:row>37</xdr:row>
      <xdr:rowOff>74160</xdr:rowOff>
    </xdr:to>
    <xdr:graphicFrame>
      <xdr:nvGraphicFramePr>
        <xdr:cNvPr id="25" name="Graphique 1"/>
        <xdr:cNvGraphicFramePr/>
      </xdr:nvGraphicFramePr>
      <xdr:xfrm>
        <a:off x="27000" y="0"/>
        <a:ext cx="9309240" cy="608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0</xdr:rowOff>
    </xdr:from>
    <xdr:to>
      <xdr:col>12</xdr:col>
      <xdr:colOff>257760</xdr:colOff>
      <xdr:row>37</xdr:row>
      <xdr:rowOff>66960</xdr:rowOff>
    </xdr:to>
    <xdr:graphicFrame>
      <xdr:nvGraphicFramePr>
        <xdr:cNvPr id="26" name="Graphique 1"/>
        <xdr:cNvGraphicFramePr/>
      </xdr:nvGraphicFramePr>
      <xdr:xfrm>
        <a:off x="27000" y="0"/>
        <a:ext cx="9306000" cy="608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45000</xdr:colOff>
      <xdr:row>4</xdr:row>
      <xdr:rowOff>111600</xdr:rowOff>
    </xdr:from>
    <xdr:to>
      <xdr:col>10</xdr:col>
      <xdr:colOff>270360</xdr:colOff>
      <xdr:row>21</xdr:row>
      <xdr:rowOff>149760</xdr:rowOff>
    </xdr:to>
    <xdr:sp>
      <xdr:nvSpPr>
        <xdr:cNvPr id="27" name="Line 1"/>
        <xdr:cNvSpPr/>
      </xdr:nvSpPr>
      <xdr:spPr>
        <a:xfrm>
          <a:off x="1557360" y="761760"/>
          <a:ext cx="6275520" cy="2801520"/>
        </a:xfrm>
        <a:prstGeom prst="line">
          <a:avLst/>
        </a:prstGeom>
        <a:ln w="12600">
          <a:solidFill>
            <a:srgbClr val="000000"/>
          </a:solidFill>
          <a:round/>
        </a:ln>
      </xdr:spPr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file:///\\MEB-JEOL\R%C3%A9mi\" TargetMode="External"/><Relationship Id="rId2" Type="http://schemas.openxmlformats.org/officeDocument/2006/relationships/hyperlink" Target="file:///\\MEB-JEOL\R%C3%A9mi\" TargetMode="External"/><Relationship Id="rId3" Type="http://schemas.openxmlformats.org/officeDocument/2006/relationships/hyperlink" Target="file:///\\MEB-JEOL\R%C3%A9mi\" TargetMode="External"/><Relationship Id="rId4" Type="http://schemas.openxmlformats.org/officeDocument/2006/relationships/hyperlink" Target="file:///\\MEB-JEOL\R%C3%A9mi\" TargetMode="External"/><Relationship Id="rId5" Type="http://schemas.openxmlformats.org/officeDocument/2006/relationships/hyperlink" Target="file:///\\MEB-JEOL\R%C3%A9mi\" TargetMode="External"/><Relationship Id="rId6" Type="http://schemas.openxmlformats.org/officeDocument/2006/relationships/hyperlink" Target="file:///\\MEB-JEOL\R%C3%A9mi\" TargetMode="External"/><Relationship Id="rId7" Type="http://schemas.openxmlformats.org/officeDocument/2006/relationships/hyperlink" Target="file:///\\MEB-JEOL\R%C3%A9mi\" TargetMode="External"/><Relationship Id="rId8" Type="http://schemas.openxmlformats.org/officeDocument/2006/relationships/hyperlink" Target="file:///\\MEB-JEOL\R%C3%A9mi\" TargetMode="External"/><Relationship Id="rId9" Type="http://schemas.openxmlformats.org/officeDocument/2006/relationships/hyperlink" Target="file:///\\MEB-JEOL\R%C3%A9mi\" TargetMode="External"/><Relationship Id="rId10" Type="http://schemas.openxmlformats.org/officeDocument/2006/relationships/hyperlink" Target="file:///\\MEB-JEOL\R%C3%A9mi\" TargetMode="External"/><Relationship Id="rId11" Type="http://schemas.openxmlformats.org/officeDocument/2006/relationships/hyperlink" Target="file:///\\MEB-JEOL\R%C3%A9mi\" TargetMode="External"/><Relationship Id="rId12" Type="http://schemas.openxmlformats.org/officeDocument/2006/relationships/hyperlink" Target="file:///\\MEB-JEOL\R%C3%A9mi\" TargetMode="External"/><Relationship Id="rId13" Type="http://schemas.openxmlformats.org/officeDocument/2006/relationships/hyperlink" Target="file:///\\MEB-JEOL\R%C3%A9mi\" TargetMode="External"/><Relationship Id="rId14" Type="http://schemas.openxmlformats.org/officeDocument/2006/relationships/hyperlink" Target="file:///\\MEB-JEOL\R%C3%A9mi\" TargetMode="External"/><Relationship Id="rId15" Type="http://schemas.openxmlformats.org/officeDocument/2006/relationships/hyperlink" Target="file:///\\MEB-JEOL\R%C3%A9mi\" TargetMode="External"/><Relationship Id="rId16" Type="http://schemas.openxmlformats.org/officeDocument/2006/relationships/hyperlink" Target="file:///\\MEB-JEOL\R%C3%A9mi\" TargetMode="External"/><Relationship Id="rId17" Type="http://schemas.openxmlformats.org/officeDocument/2006/relationships/hyperlink" Target="file:///\\MEB-JEOL\R%C3%A9mi\" TargetMode="External"/><Relationship Id="rId18" Type="http://schemas.openxmlformats.org/officeDocument/2006/relationships/hyperlink" Target="file:///\\MEB-JEOL\R%C3%A9mi\" TargetMode="External"/><Relationship Id="rId19" Type="http://schemas.openxmlformats.org/officeDocument/2006/relationships/hyperlink" Target="file:///\\MEB-JEOL\R%C3%A9mi\" TargetMode="External"/><Relationship Id="rId20" Type="http://schemas.openxmlformats.org/officeDocument/2006/relationships/hyperlink" Target="file:///\\MEB-JEOL\R%C3%A9mi\" TargetMode="External"/><Relationship Id="rId21" Type="http://schemas.openxmlformats.org/officeDocument/2006/relationships/hyperlink" Target="file:///\\MEB-JEOL\R%C3%A9mi\" TargetMode="External"/><Relationship Id="rId22" Type="http://schemas.openxmlformats.org/officeDocument/2006/relationships/hyperlink" Target="file:///\\MEB-JEOL\R%C3%A9mi\" TargetMode="External"/><Relationship Id="rId23" Type="http://schemas.openxmlformats.org/officeDocument/2006/relationships/hyperlink" Target="file:///\\MEB-JEOL\R%C3%A9mi\" TargetMode="External"/><Relationship Id="rId24" Type="http://schemas.openxmlformats.org/officeDocument/2006/relationships/hyperlink" Target="file:///\\MEB-JEOL\R%C3%A9mi\" TargetMode="External"/><Relationship Id="rId25" Type="http://schemas.openxmlformats.org/officeDocument/2006/relationships/hyperlink" Target="file:///\\MEB-JEOL\R%C3%A9mi\Pockels%202" TargetMode="External"/><Relationship Id="rId26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windowProtection="false"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K28" activeCellId="0" sqref="K28"/>
    </sheetView>
  </sheetViews>
  <sheetFormatPr defaultRowHeight="14.4"/>
  <cols>
    <col collapsed="false" hidden="false" max="1" min="1" style="0" width="18.668016194332"/>
    <col collapsed="false" hidden="false" max="2" min="2" style="0" width="12.8906882591093"/>
    <col collapsed="false" hidden="false" max="3" min="3" style="0" width="12.331983805668"/>
    <col collapsed="false" hidden="false" max="5" min="5" style="1" width="11.9959514170041"/>
    <col collapsed="false" hidden="false" max="8" min="8" style="0" width="19.331983805668"/>
    <col collapsed="false" hidden="false" max="9" min="9" style="0" width="12.1133603238866"/>
    <col collapsed="false" hidden="false" max="1025" min="10" style="0" width="11.5546558704453"/>
  </cols>
  <sheetData>
    <row r="1" customFormat="false" ht="14.4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4.4" hidden="false" customHeight="false" outlineLevel="0" collapsed="false">
      <c r="A3" s="3" t="s">
        <v>1</v>
      </c>
      <c r="E3" s="0"/>
      <c r="H3" s="4" t="s">
        <v>2</v>
      </c>
      <c r="I3" s="4"/>
      <c r="J3" s="4"/>
      <c r="K3" s="4"/>
      <c r="L3" s="4"/>
    </row>
    <row r="4" customFormat="false" ht="14.4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6" t="s">
        <v>8</v>
      </c>
      <c r="G4" s="6"/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14.4" hidden="false" customHeight="false" outlineLevel="0" collapsed="false">
      <c r="A5" s="0" t="n">
        <v>2500</v>
      </c>
      <c r="B5" s="7" t="n">
        <v>1E-005</v>
      </c>
      <c r="C5" s="0" t="n">
        <v>251</v>
      </c>
      <c r="D5" s="0" t="n">
        <v>2</v>
      </c>
      <c r="E5" s="1" t="n">
        <f aca="false">B5*(C5+D5)/(C5*(C5-1))</f>
        <v>4.03187250996016E-008</v>
      </c>
      <c r="F5" s="8" t="n">
        <v>10</v>
      </c>
      <c r="G5" s="8"/>
      <c r="H5" s="9" t="n">
        <f aca="false">0.000000795*F5</f>
        <v>7.95E-006</v>
      </c>
      <c r="I5" s="9" t="n">
        <f aca="false">0.00000005*F5</f>
        <v>5E-007</v>
      </c>
      <c r="J5" s="7"/>
    </row>
    <row r="6" customFormat="false" ht="14.4" hidden="false" customHeight="false" outlineLevel="0" collapsed="false">
      <c r="A6" s="0" t="n">
        <v>5000</v>
      </c>
      <c r="B6" s="7" t="n">
        <v>5E-006</v>
      </c>
      <c r="C6" s="0" t="n">
        <v>251</v>
      </c>
      <c r="D6" s="0" t="n">
        <v>2</v>
      </c>
      <c r="E6" s="1" t="n">
        <f aca="false">B6*(C6+D6)/(C6*(C6-1))</f>
        <v>2.01593625498008E-008</v>
      </c>
    </row>
    <row r="7" customFormat="false" ht="14.4" hidden="false" customHeight="false" outlineLevel="0" collapsed="false">
      <c r="A7" s="0" t="n">
        <v>10000</v>
      </c>
      <c r="B7" s="7" t="n">
        <v>1E-006</v>
      </c>
      <c r="C7" s="0" t="n">
        <v>99</v>
      </c>
      <c r="D7" s="0" t="n">
        <v>2</v>
      </c>
      <c r="E7" s="1" t="n">
        <f aca="false">B7*(C7+D7)/(C7*(C7-1))</f>
        <v>1.0410224695939E-008</v>
      </c>
    </row>
    <row r="11" customFormat="false" ht="14.4" hidden="false" customHeight="false" outlineLevel="0" collapsed="false">
      <c r="A11" s="4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4.4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4.4" hidden="false" customHeight="false" outlineLevel="0" collapsed="false">
      <c r="A13" s="4" t="s">
        <v>14</v>
      </c>
      <c r="B13" s="4"/>
      <c r="C13" s="4"/>
      <c r="D13" s="4"/>
      <c r="E13" s="4"/>
      <c r="M13" s="4" t="s">
        <v>15</v>
      </c>
      <c r="N13" s="4"/>
      <c r="O13" s="4"/>
    </row>
    <row r="14" customFormat="false" ht="14.4" hidden="false" customHeight="false" outlineLevel="0" collapsed="false">
      <c r="B14" s="0" t="s">
        <v>16</v>
      </c>
      <c r="C14" s="0" t="s">
        <v>17</v>
      </c>
      <c r="D14" s="0" t="s">
        <v>18</v>
      </c>
      <c r="E14" s="0" t="s">
        <v>19</v>
      </c>
      <c r="F14" s="1" t="s">
        <v>20</v>
      </c>
      <c r="G14" s="1" t="s">
        <v>21</v>
      </c>
      <c r="I14" s="0" t="s">
        <v>22</v>
      </c>
      <c r="J14" s="0" t="s">
        <v>23</v>
      </c>
      <c r="K14" s="0" t="s">
        <v>24</v>
      </c>
      <c r="M14" s="0" t="s">
        <v>17</v>
      </c>
      <c r="N14" s="0" t="s">
        <v>18</v>
      </c>
      <c r="O14" s="0" t="s">
        <v>25</v>
      </c>
    </row>
    <row r="15" customFormat="false" ht="14.4" hidden="false" customHeight="false" outlineLevel="0" collapsed="false">
      <c r="A15" s="2" t="s">
        <v>26</v>
      </c>
      <c r="B15" s="0" t="n">
        <v>3</v>
      </c>
      <c r="C15" s="7" t="n">
        <v>2.18E-006</v>
      </c>
      <c r="D15" s="7" t="n">
        <v>2.85E-006</v>
      </c>
      <c r="E15" s="7" t="n">
        <f aca="false">(C15+D15)/(2*B15)</f>
        <v>8.38333333333333E-007</v>
      </c>
      <c r="F15" s="7" t="n">
        <f aca="false">(D15-C15)/(2*B15)</f>
        <v>1.11666666666667E-007</v>
      </c>
      <c r="G15" s="11" t="n">
        <f aca="false">F15/E15</f>
        <v>0.133200795228628</v>
      </c>
      <c r="H15" s="0" t="s">
        <v>27</v>
      </c>
      <c r="I15" s="7" t="n">
        <v>8E-007</v>
      </c>
      <c r="J15" s="0" t="n">
        <v>3.7</v>
      </c>
      <c r="K15" s="7" t="n">
        <f aca="false">I15/J15</f>
        <v>2.16216216216216E-007</v>
      </c>
      <c r="M15" s="7" t="n">
        <v>1.257E-005</v>
      </c>
      <c r="N15" s="7" t="n">
        <v>1.459E-005</v>
      </c>
      <c r="O15" s="7" t="n">
        <f aca="false">(M15+N15)/2</f>
        <v>1.358E-005</v>
      </c>
    </row>
    <row r="16" customFormat="false" ht="14.4" hidden="false" customHeight="false" outlineLevel="0" collapsed="false">
      <c r="A16" s="2"/>
      <c r="B16" s="0" t="n">
        <v>3</v>
      </c>
      <c r="C16" s="7" t="n">
        <v>2.45E-006</v>
      </c>
      <c r="D16" s="7" t="n">
        <v>2.98E-006</v>
      </c>
      <c r="E16" s="7" t="n">
        <f aca="false">(C16+D16)/(2*B16)</f>
        <v>9.05E-007</v>
      </c>
      <c r="F16" s="7" t="n">
        <f aca="false">(D16-C16)/(2*B16)</f>
        <v>8.83333333333333E-008</v>
      </c>
      <c r="G16" s="11" t="n">
        <f aca="false">F16/E16</f>
        <v>0.0976058931860037</v>
      </c>
      <c r="H16" s="0" t="s">
        <v>28</v>
      </c>
      <c r="I16" s="7" t="n">
        <v>8E-007</v>
      </c>
      <c r="J16" s="0" t="n">
        <v>3.7</v>
      </c>
      <c r="K16" s="7" t="n">
        <f aca="false">I16/J16</f>
        <v>2.16216216216216E-007</v>
      </c>
      <c r="M16" s="7" t="n">
        <v>9.03E-006</v>
      </c>
      <c r="N16" s="7" t="n">
        <v>1.374E-005</v>
      </c>
      <c r="O16" s="7" t="n">
        <f aca="false">(M16+N16)/2</f>
        <v>1.1385E-005</v>
      </c>
    </row>
    <row r="17" customFormat="false" ht="14.4" hidden="false" customHeight="false" outlineLevel="0" collapsed="false">
      <c r="A17" s="2"/>
      <c r="B17" s="0" t="n">
        <v>6</v>
      </c>
      <c r="C17" s="7" t="n">
        <v>4.35E-006</v>
      </c>
      <c r="D17" s="7" t="n">
        <v>4.95E-006</v>
      </c>
      <c r="E17" s="7" t="n">
        <f aca="false">(C17+D17)/(2*B17)</f>
        <v>7.75E-007</v>
      </c>
      <c r="F17" s="7" t="n">
        <f aca="false">(D17-C17)/(2*B17)</f>
        <v>5E-008</v>
      </c>
      <c r="G17" s="11" t="n">
        <f aca="false">F17/E17</f>
        <v>0.0645161290322581</v>
      </c>
      <c r="H17" s="0" t="s">
        <v>29</v>
      </c>
      <c r="I17" s="7" t="n">
        <v>8E-007</v>
      </c>
      <c r="J17" s="0" t="n">
        <v>3.7</v>
      </c>
      <c r="K17" s="7" t="n">
        <f aca="false">I17/J17</f>
        <v>2.16216216216216E-007</v>
      </c>
      <c r="M17" s="7"/>
      <c r="N17" s="0" t="s">
        <v>30</v>
      </c>
      <c r="O17" s="7" t="n">
        <f aca="false">AVERAGE(O15:O16)</f>
        <v>1.24825E-005</v>
      </c>
    </row>
    <row r="18" customFormat="false" ht="14.4" hidden="false" customHeight="false" outlineLevel="0" collapsed="false">
      <c r="A18" s="2" t="s">
        <v>31</v>
      </c>
      <c r="B18" s="0" t="n">
        <v>5</v>
      </c>
      <c r="C18" s="7" t="n">
        <v>1.09E-006</v>
      </c>
      <c r="D18" s="7" t="n">
        <v>1.26E-006</v>
      </c>
      <c r="E18" s="7" t="n">
        <f aca="false">(C18+D18)/(2*B18)</f>
        <v>2.35E-007</v>
      </c>
      <c r="F18" s="7" t="n">
        <f aca="false">(D18-C18)/(2*B18)</f>
        <v>1.7E-008</v>
      </c>
      <c r="G18" s="11" t="n">
        <f aca="false">F18/E18</f>
        <v>0.072340425531915</v>
      </c>
      <c r="H18" s="0" t="s">
        <v>32</v>
      </c>
      <c r="I18" s="7" t="n">
        <v>8E-007</v>
      </c>
      <c r="J18" s="0" t="n">
        <v>3.7</v>
      </c>
      <c r="K18" s="7" t="n">
        <f aca="false">I18/J18</f>
        <v>2.16216216216216E-007</v>
      </c>
      <c r="N18" s="0" t="s">
        <v>33</v>
      </c>
      <c r="O18" s="0" t="n">
        <f aca="false">STDEV(O15:O16)</f>
        <v>1.55209938470447E-006</v>
      </c>
    </row>
    <row r="19" customFormat="false" ht="14.4" hidden="false" customHeight="false" outlineLevel="0" collapsed="false">
      <c r="A19" s="2"/>
      <c r="B19" s="0" t="n">
        <v>5</v>
      </c>
      <c r="C19" s="7" t="n">
        <v>1.11E-006</v>
      </c>
      <c r="D19" s="7" t="n">
        <v>1.21E-006</v>
      </c>
      <c r="E19" s="7" t="n">
        <f aca="false">(C19+D19)/(2*B19)</f>
        <v>2.32E-007</v>
      </c>
      <c r="F19" s="7" t="n">
        <f aca="false">(D19-C19)/(2*B19)</f>
        <v>1E-008</v>
      </c>
      <c r="G19" s="11" t="n">
        <f aca="false">F19/E19</f>
        <v>0.0431034482758621</v>
      </c>
      <c r="I19" s="7" t="n">
        <v>8E-007</v>
      </c>
      <c r="J19" s="0" t="n">
        <v>3.7</v>
      </c>
      <c r="K19" s="7" t="n">
        <f aca="false">I19/J19</f>
        <v>2.16216216216216E-007</v>
      </c>
    </row>
    <row r="22" customFormat="false" ht="14.4" hidden="false" customHeight="false" outlineLevel="0" collapsed="false">
      <c r="A22" s="0" t="s">
        <v>34</v>
      </c>
      <c r="E22" s="0"/>
      <c r="F22" s="0" t="s">
        <v>35</v>
      </c>
    </row>
    <row r="23" customFormat="false" ht="14.4" hidden="false" customHeight="false" outlineLevel="0" collapsed="false">
      <c r="B23" s="0" t="s">
        <v>36</v>
      </c>
      <c r="C23" s="0" t="s">
        <v>37</v>
      </c>
      <c r="D23" s="0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1" t="s">
        <v>43</v>
      </c>
      <c r="J23" s="1" t="s">
        <v>44</v>
      </c>
      <c r="K23" s="0" t="s">
        <v>45</v>
      </c>
      <c r="L23" s="0" t="s">
        <v>46</v>
      </c>
      <c r="M23" s="0" t="s">
        <v>47</v>
      </c>
      <c r="N23" s="0" t="s">
        <v>48</v>
      </c>
    </row>
    <row r="24" customFormat="false" ht="14.4" hidden="false" customHeight="false" outlineLevel="0" collapsed="false">
      <c r="B24" s="0" t="n">
        <v>4</v>
      </c>
      <c r="C24" s="7" t="n">
        <v>3.04E-006</v>
      </c>
      <c r="D24" s="7" t="n">
        <v>3.36E-006</v>
      </c>
      <c r="E24" s="12" t="n">
        <f aca="false">(D24+C24)/2</f>
        <v>3.2E-006</v>
      </c>
      <c r="F24" s="12" t="n">
        <f aca="false">(D24-C24)/2</f>
        <v>1.6E-007</v>
      </c>
      <c r="G24" s="0" t="n">
        <v>165</v>
      </c>
      <c r="H24" s="0" t="n">
        <v>1</v>
      </c>
      <c r="I24" s="7" t="n">
        <v>5E-006</v>
      </c>
      <c r="J24" s="12" t="n">
        <f aca="false">E24/B24</f>
        <v>8E-007</v>
      </c>
      <c r="K24" s="12" t="n">
        <f aca="false">(1/B24)*(F24+H24*E24/G24)</f>
        <v>4.48484848484848E-008</v>
      </c>
      <c r="L24" s="13" t="n">
        <f aca="false">K24/J24</f>
        <v>0.056060606060606</v>
      </c>
      <c r="M24" s="7" t="n">
        <f aca="false">F24/B24</f>
        <v>4E-008</v>
      </c>
      <c r="N24" s="11" t="n">
        <f aca="false">M24/J24</f>
        <v>0.05</v>
      </c>
    </row>
    <row r="26" customFormat="false" ht="14.4" hidden="false" customHeight="false" outlineLevel="0" collapsed="false">
      <c r="E26" s="0"/>
      <c r="F26" s="0" t="s">
        <v>49</v>
      </c>
    </row>
    <row r="27" customFormat="false" ht="14.4" hidden="false" customHeight="false" outlineLevel="0" collapsed="false">
      <c r="C27" s="0" t="s">
        <v>37</v>
      </c>
      <c r="E27" s="1" t="s">
        <v>39</v>
      </c>
      <c r="F27" s="0" t="s">
        <v>40</v>
      </c>
      <c r="G27" s="0" t="s">
        <v>41</v>
      </c>
      <c r="H27" s="0" t="s">
        <v>42</v>
      </c>
      <c r="I27" s="0" t="s">
        <v>43</v>
      </c>
      <c r="J27" s="0" t="s">
        <v>44</v>
      </c>
      <c r="K27" s="0" t="s">
        <v>50</v>
      </c>
      <c r="L27" s="0" t="s">
        <v>46</v>
      </c>
      <c r="M27" s="0" t="s">
        <v>47</v>
      </c>
      <c r="N27" s="0" t="s">
        <v>48</v>
      </c>
    </row>
    <row r="28" customFormat="false" ht="14.4" hidden="false" customHeight="false" outlineLevel="0" collapsed="false">
      <c r="B28" s="0" t="s">
        <v>51</v>
      </c>
      <c r="C28" s="7" t="n">
        <v>7.6E-007</v>
      </c>
      <c r="D28" s="7" t="n">
        <v>8.2E-007</v>
      </c>
      <c r="E28" s="12" t="n">
        <f aca="false">(D28+C28)/2</f>
        <v>7.9E-007</v>
      </c>
      <c r="F28" s="12" t="n">
        <f aca="false">(D28-C28)/2</f>
        <v>3E-008</v>
      </c>
      <c r="G28" s="0" t="n">
        <v>165</v>
      </c>
      <c r="H28" s="0" t="n">
        <v>1</v>
      </c>
      <c r="I28" s="7" t="n">
        <v>5E-006</v>
      </c>
      <c r="J28" s="12" t="n">
        <f aca="false">E28</f>
        <v>7.9E-007</v>
      </c>
      <c r="K28" s="12" t="n">
        <f aca="false">F28+(H28/G28)*E28</f>
        <v>3.47878787878788E-008</v>
      </c>
      <c r="L28" s="13" t="n">
        <f aca="false">K28/J28</f>
        <v>0.0440352896049098</v>
      </c>
      <c r="M28" s="0" t="s">
        <v>52</v>
      </c>
      <c r="N28" s="11" t="n">
        <f aca="false">F28/E28</f>
        <v>0.0379746835443038</v>
      </c>
    </row>
    <row r="30" customFormat="false" ht="14.4" hidden="false" customHeight="false" outlineLevel="0" collapsed="false">
      <c r="B30" s="0" t="s">
        <v>53</v>
      </c>
      <c r="E30" s="0"/>
    </row>
    <row r="31" customFormat="false" ht="14.4" hidden="false" customHeight="false" outlineLevel="0" collapsed="false">
      <c r="B31" s="0" t="s">
        <v>54</v>
      </c>
      <c r="C31" s="0" t="s">
        <v>37</v>
      </c>
      <c r="E31" s="1" t="s">
        <v>39</v>
      </c>
      <c r="F31" s="0" t="s">
        <v>40</v>
      </c>
      <c r="G31" s="0" t="s">
        <v>41</v>
      </c>
      <c r="H31" s="0" t="s">
        <v>42</v>
      </c>
      <c r="I31" s="0" t="s">
        <v>43</v>
      </c>
      <c r="J31" s="0" t="s">
        <v>44</v>
      </c>
      <c r="K31" s="0" t="s">
        <v>50</v>
      </c>
      <c r="L31" s="0" t="s">
        <v>46</v>
      </c>
      <c r="M31" s="0" t="s">
        <v>47</v>
      </c>
      <c r="N31" s="0" t="s">
        <v>48</v>
      </c>
    </row>
    <row r="32" customFormat="false" ht="14.4" hidden="false" customHeight="false" outlineLevel="0" collapsed="false">
      <c r="B32" s="0" t="s">
        <v>55</v>
      </c>
      <c r="C32" s="7" t="n">
        <v>6.9E-007</v>
      </c>
      <c r="D32" s="7" t="n">
        <v>7.2E-007</v>
      </c>
      <c r="E32" s="12" t="n">
        <f aca="false">(D32+C32)/2</f>
        <v>7.05E-007</v>
      </c>
      <c r="F32" s="12" t="n">
        <f aca="false">(D32-C32)/2</f>
        <v>1.5E-008</v>
      </c>
      <c r="G32" s="0" t="n">
        <v>661</v>
      </c>
      <c r="H32" s="0" t="n">
        <v>1</v>
      </c>
      <c r="I32" s="7" t="n">
        <v>5E-006</v>
      </c>
      <c r="J32" s="12" t="n">
        <f aca="false">E32</f>
        <v>7.05E-007</v>
      </c>
      <c r="K32" s="12" t="n">
        <f aca="false">F32+(H32/G32)*E32</f>
        <v>1.60665658093797E-008</v>
      </c>
      <c r="L32" s="13" t="n">
        <f aca="false">K32/J32</f>
        <v>0.0227894550487656</v>
      </c>
      <c r="M32" s="0" t="s">
        <v>52</v>
      </c>
      <c r="N32" s="11" t="n">
        <f aca="false">F32/E32</f>
        <v>0.0212765957446809</v>
      </c>
    </row>
    <row r="33" customFormat="false" ht="14.4" hidden="false" customHeight="false" outlineLevel="0" collapsed="false">
      <c r="B33" s="0" t="n">
        <v>15</v>
      </c>
      <c r="C33" s="7" t="n">
        <v>1.021E-005</v>
      </c>
      <c r="D33" s="7" t="n">
        <v>1.06E-005</v>
      </c>
      <c r="E33" s="12" t="n">
        <f aca="false">(D33+C33)/2</f>
        <v>1.0405E-005</v>
      </c>
      <c r="F33" s="12" t="n">
        <f aca="false">(D33-C33)/2</f>
        <v>1.95E-007</v>
      </c>
      <c r="G33" s="0" t="n">
        <v>661</v>
      </c>
      <c r="H33" s="0" t="n">
        <v>1</v>
      </c>
      <c r="I33" s="7" t="n">
        <v>5E-006</v>
      </c>
      <c r="J33" s="12" t="n">
        <f aca="false">E33/B33</f>
        <v>6.93666666666667E-007</v>
      </c>
      <c r="K33" s="12" t="n">
        <f aca="false">(1/B33)*(F33+H33*E33/G33)</f>
        <v>1.40494200706001E-008</v>
      </c>
      <c r="L33" s="13" t="n">
        <f aca="false">K33/J33</f>
        <v>0.0202538492127824</v>
      </c>
      <c r="M33" s="7" t="n">
        <f aca="false">F33/B33</f>
        <v>1.3E-008</v>
      </c>
      <c r="N33" s="11" t="n">
        <f aca="false">M33/J33</f>
        <v>0.0187409899086977</v>
      </c>
    </row>
  </sheetData>
  <mergeCells count="7">
    <mergeCell ref="A1:H1"/>
    <mergeCell ref="H3:L3"/>
    <mergeCell ref="A11:K11"/>
    <mergeCell ref="A13:E13"/>
    <mergeCell ref="M13:O13"/>
    <mergeCell ref="A15:A17"/>
    <mergeCell ref="A18:A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70" topLeftCell="AH121" activePane="bottomLeft" state="split"/>
      <selection pane="topLeft" activeCell="A1" activeCellId="0" sqref="A1"/>
      <selection pane="bottomLeft" activeCell="C150" activeCellId="0" sqref="C150"/>
    </sheetView>
  </sheetViews>
  <sheetFormatPr defaultRowHeight="14.4"/>
  <cols>
    <col collapsed="false" hidden="false" max="3" min="1" style="14" width="23.4453441295547"/>
    <col collapsed="false" hidden="false" max="4" min="4" style="14" width="19.4372469635628"/>
    <col collapsed="false" hidden="false" max="5" min="5" style="15" width="14.9959514170041"/>
    <col collapsed="false" hidden="false" max="6" min="6" style="16" width="13.9959514170041"/>
    <col collapsed="false" hidden="false" max="7" min="7" style="17" width="10.5546558704453"/>
    <col collapsed="false" hidden="false" max="8" min="8" style="18" width="9.99595141700405"/>
    <col collapsed="false" hidden="false" max="9" min="9" style="19" width="19.1093117408907"/>
    <col collapsed="false" hidden="false" max="10" min="10" style="19" width="14.2186234817814"/>
    <col collapsed="false" hidden="false" max="11" min="11" style="19" width="18.8866396761134"/>
    <col collapsed="false" hidden="false" max="12" min="12" style="0" width="11.5546558704453"/>
    <col collapsed="false" hidden="false" max="13" min="13" style="20" width="25.8866396761134"/>
    <col collapsed="false" hidden="false" max="16" min="14" style="19" width="8"/>
    <col collapsed="false" hidden="false" max="17" min="17" style="19" width="13.4412955465587"/>
    <col collapsed="false" hidden="false" max="18" min="18" style="21" width="15.331983805668"/>
    <col collapsed="false" hidden="false" max="19" min="19" style="21" width="20.1093117408907"/>
    <col collapsed="false" hidden="false" max="20" min="20" style="22" width="8.33198380566802"/>
    <col collapsed="false" hidden="false" max="21" min="21" style="22" width="17.4372469635628"/>
    <col collapsed="false" hidden="false" max="25" min="22" style="23" width="11.4412955465587"/>
    <col collapsed="false" hidden="false" max="26" min="26" style="24" width="11.1133603238866"/>
    <col collapsed="false" hidden="false" max="27" min="27" style="19" width="15.4412955465587"/>
    <col collapsed="false" hidden="false" max="28" min="28" style="25" width="8.11336032388664"/>
    <col collapsed="false" hidden="false" max="29" min="29" style="24" width="12.4412955465587"/>
    <col collapsed="false" hidden="false" max="38" min="30" style="19" width="12.4412955465587"/>
    <col collapsed="false" hidden="false" max="40" min="39" style="19" width="9.99595141700405"/>
    <col collapsed="false" hidden="false" max="41" min="41" style="24" width="19.1093117408907"/>
    <col collapsed="false" hidden="false" max="44" min="42" style="19" width="19.1093117408907"/>
    <col collapsed="false" hidden="false" max="46" min="45" style="26" width="15.331983805668"/>
    <col collapsed="false" hidden="false" max="47" min="47" style="19" width="7.66396761133603"/>
    <col collapsed="false" hidden="false" max="49" min="48" style="19" width="14.5546558704453"/>
    <col collapsed="false" hidden="false" max="50" min="50" style="25" width="28.8866396761134"/>
    <col collapsed="false" hidden="false" max="1025" min="51" style="23" width="11.4412955465587"/>
  </cols>
  <sheetData>
    <row r="1" s="32" customFormat="true" ht="14.4" hidden="false" customHeight="false" outlineLevel="0" collapsed="false">
      <c r="A1" s="27" t="s">
        <v>56</v>
      </c>
      <c r="B1" s="27" t="s">
        <v>57</v>
      </c>
      <c r="C1" s="27"/>
      <c r="D1" s="27" t="s">
        <v>58</v>
      </c>
      <c r="E1" s="28" t="s">
        <v>59</v>
      </c>
      <c r="F1" s="29" t="s">
        <v>60</v>
      </c>
      <c r="G1" s="30" t="s">
        <v>18</v>
      </c>
      <c r="H1" s="31" t="s">
        <v>61</v>
      </c>
      <c r="I1" s="32" t="s">
        <v>62</v>
      </c>
      <c r="J1" s="32" t="s">
        <v>63</v>
      </c>
      <c r="K1" s="32" t="s">
        <v>64</v>
      </c>
      <c r="M1" s="33" t="s">
        <v>65</v>
      </c>
      <c r="N1" s="32" t="s">
        <v>66</v>
      </c>
      <c r="O1" s="32" t="s">
        <v>67</v>
      </c>
      <c r="P1" s="32" t="s">
        <v>68</v>
      </c>
      <c r="Q1" s="32" t="s">
        <v>69</v>
      </c>
      <c r="R1" s="34" t="s">
        <v>70</v>
      </c>
      <c r="S1" s="34" t="s">
        <v>71</v>
      </c>
      <c r="T1" s="35" t="s">
        <v>72</v>
      </c>
      <c r="U1" s="35" t="s">
        <v>73</v>
      </c>
      <c r="W1" s="32" t="s">
        <v>74</v>
      </c>
      <c r="X1" s="32" t="s">
        <v>75</v>
      </c>
      <c r="Z1" s="36" t="s">
        <v>76</v>
      </c>
      <c r="AA1" s="32" t="s">
        <v>77</v>
      </c>
      <c r="AB1" s="37" t="s">
        <v>78</v>
      </c>
      <c r="AC1" s="36" t="s">
        <v>79</v>
      </c>
      <c r="AD1" s="32" t="s">
        <v>80</v>
      </c>
      <c r="AE1" s="32" t="s">
        <v>81</v>
      </c>
      <c r="AF1" s="32" t="s">
        <v>82</v>
      </c>
      <c r="AG1" s="32" t="s">
        <v>83</v>
      </c>
      <c r="AH1" s="32" t="s">
        <v>84</v>
      </c>
      <c r="AI1" s="32" t="s">
        <v>85</v>
      </c>
      <c r="AJ1" s="32" t="s">
        <v>86</v>
      </c>
      <c r="AK1" s="32" t="s">
        <v>87</v>
      </c>
      <c r="AL1" s="32" t="s">
        <v>88</v>
      </c>
      <c r="AM1" s="32" t="s">
        <v>89</v>
      </c>
      <c r="AN1" s="32" t="s">
        <v>90</v>
      </c>
      <c r="AO1" s="36" t="s">
        <v>91</v>
      </c>
      <c r="AP1" s="32" t="s">
        <v>92</v>
      </c>
      <c r="AQ1" s="28" t="s">
        <v>93</v>
      </c>
      <c r="AR1" s="28" t="s">
        <v>94</v>
      </c>
      <c r="AS1" s="28" t="s">
        <v>95</v>
      </c>
      <c r="AT1" s="28" t="s">
        <v>96</v>
      </c>
      <c r="AU1" s="32" t="s">
        <v>97</v>
      </c>
      <c r="AV1" s="32" t="s">
        <v>98</v>
      </c>
      <c r="AW1" s="32" t="s">
        <v>99</v>
      </c>
      <c r="AX1" s="37" t="s">
        <v>100</v>
      </c>
      <c r="AY1" s="32" t="s">
        <v>101</v>
      </c>
      <c r="AZ1" s="32" t="s">
        <v>102</v>
      </c>
    </row>
    <row r="2" customFormat="false" ht="15" hidden="false" customHeight="true" outlineLevel="0" collapsed="false">
      <c r="A2" s="14" t="n">
        <v>3.18</v>
      </c>
      <c r="B2" s="0"/>
      <c r="C2" s="0"/>
      <c r="D2" s="14" t="n">
        <f aca="false">E2/I2</f>
        <v>0.858064516129032</v>
      </c>
      <c r="E2" s="15" t="n">
        <f aca="false">(G2+F2)/2/H2</f>
        <v>665</v>
      </c>
      <c r="F2" s="38" t="n">
        <v>600</v>
      </c>
      <c r="G2" s="17" t="n">
        <v>730</v>
      </c>
      <c r="H2" s="39" t="n">
        <v>1</v>
      </c>
      <c r="I2" s="19" t="n">
        <v>775</v>
      </c>
      <c r="J2" s="19" t="n">
        <v>0.15</v>
      </c>
      <c r="K2" s="0"/>
      <c r="M2" s="20" t="n">
        <f aca="false">0.0001*A2*10000/(J2*0.000000000001)</f>
        <v>21200000000000</v>
      </c>
      <c r="N2" s="19" t="n">
        <v>10</v>
      </c>
      <c r="O2" s="0"/>
      <c r="P2" s="0"/>
      <c r="Q2" s="19" t="n">
        <f aca="false">M2*N2</f>
        <v>212000000000000</v>
      </c>
      <c r="R2" s="21" t="n">
        <f aca="false">A2*N2</f>
        <v>31.8</v>
      </c>
      <c r="S2" s="0"/>
      <c r="T2" s="22" t="n">
        <f aca="false">(G2-F2)/H2/E2</f>
        <v>0.195488721804511</v>
      </c>
      <c r="U2" s="22" t="n">
        <f aca="false">T2/2</f>
        <v>0.0977443609022556</v>
      </c>
      <c r="Y2" s="0"/>
      <c r="Z2" s="40" t="s">
        <v>103</v>
      </c>
      <c r="AA2" s="19" t="s">
        <v>104</v>
      </c>
      <c r="AB2" s="41" t="n">
        <v>2006</v>
      </c>
      <c r="AC2" s="40" t="s">
        <v>105</v>
      </c>
      <c r="AD2" s="0"/>
      <c r="AE2" s="0"/>
      <c r="AF2" s="0"/>
      <c r="AG2" s="19" t="s">
        <v>106</v>
      </c>
      <c r="AH2" s="0"/>
      <c r="AI2" s="0"/>
      <c r="AJ2" s="0"/>
      <c r="AK2" s="0"/>
      <c r="AL2" s="0"/>
      <c r="AM2" s="0"/>
      <c r="AN2" s="0"/>
      <c r="AO2" s="40" t="n">
        <v>1000</v>
      </c>
      <c r="AP2" s="0"/>
      <c r="AQ2" s="0"/>
      <c r="AR2" s="0"/>
      <c r="AS2" s="0"/>
      <c r="AT2" s="0"/>
      <c r="AU2" s="0"/>
      <c r="AV2" s="0"/>
      <c r="AW2" s="0"/>
      <c r="AX2" s="0"/>
      <c r="AY2" s="23" t="s">
        <v>107</v>
      </c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4" hidden="false" customHeight="false" outlineLevel="0" collapsed="false">
      <c r="A3" s="0"/>
      <c r="B3" s="0"/>
      <c r="C3" s="0"/>
      <c r="D3" s="14" t="n">
        <f aca="false">E3/I3</f>
        <v>2.88184438040346</v>
      </c>
      <c r="E3" s="15" t="n">
        <f aca="false">(G3+F3)/2/H3</f>
        <v>2000</v>
      </c>
      <c r="F3" s="42" t="n">
        <v>2000</v>
      </c>
      <c r="G3" s="15" t="n">
        <v>2000</v>
      </c>
      <c r="H3" s="39" t="n">
        <v>1</v>
      </c>
      <c r="I3" s="19" t="n">
        <v>694</v>
      </c>
      <c r="J3" s="43" t="n">
        <f aca="false">0.000015*1000000000000</f>
        <v>15000000</v>
      </c>
      <c r="K3" s="0"/>
      <c r="M3" s="20" t="n">
        <v>10000</v>
      </c>
      <c r="N3" s="19" t="s">
        <v>108</v>
      </c>
      <c r="O3" s="0"/>
      <c r="P3" s="0"/>
      <c r="Q3" s="19" t="e">
        <f aca="false">M3*N3</f>
        <v>#VALUE!</v>
      </c>
      <c r="R3" s="21" t="e">
        <f aca="false">A3*N3</f>
        <v>#VALUE!</v>
      </c>
      <c r="S3" s="0"/>
      <c r="T3" s="22" t="n">
        <f aca="false">(G3-F3)/H3/E3</f>
        <v>0</v>
      </c>
      <c r="U3" s="22" t="n">
        <f aca="false">T3/2</f>
        <v>0</v>
      </c>
      <c r="V3" s="0"/>
      <c r="W3" s="0"/>
      <c r="X3" s="0"/>
      <c r="Y3" s="0"/>
      <c r="Z3" s="40" t="s">
        <v>109</v>
      </c>
      <c r="AA3" s="0"/>
      <c r="AB3" s="0"/>
      <c r="AC3" s="40" t="s">
        <v>110</v>
      </c>
      <c r="AD3" s="0"/>
      <c r="AE3" s="0"/>
      <c r="AF3" s="0"/>
      <c r="AG3" s="19" t="s">
        <v>111</v>
      </c>
      <c r="AH3" s="19" t="n">
        <v>1.12</v>
      </c>
      <c r="AI3" s="19" t="n">
        <v>111</v>
      </c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19" t="n">
        <v>75</v>
      </c>
      <c r="AV3" s="0"/>
      <c r="AW3" s="0"/>
      <c r="AX3" s="0"/>
      <c r="AY3" s="23" t="s">
        <v>107</v>
      </c>
      <c r="AZ3" s="23" t="n">
        <v>0.1</v>
      </c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true" outlineLevel="0" collapsed="false">
      <c r="A4" s="14" t="n">
        <v>3.18</v>
      </c>
      <c r="B4" s="0"/>
      <c r="C4" s="0"/>
      <c r="D4" s="14" t="n">
        <f aca="false">E4/I4</f>
        <v>0.787096774193548</v>
      </c>
      <c r="E4" s="15" t="n">
        <f aca="false">(G4+F4)/2/H4</f>
        <v>610</v>
      </c>
      <c r="F4" s="38" t="n">
        <v>580</v>
      </c>
      <c r="G4" s="17" t="n">
        <v>640</v>
      </c>
      <c r="H4" s="39" t="n">
        <v>1</v>
      </c>
      <c r="I4" s="19" t="n">
        <v>775</v>
      </c>
      <c r="J4" s="19" t="n">
        <v>0.15</v>
      </c>
      <c r="K4" s="0"/>
      <c r="M4" s="20" t="n">
        <f aca="false">0.0001*A4*10000/(J4*0.000000000001)</f>
        <v>21200000000000</v>
      </c>
      <c r="N4" s="19" t="n">
        <v>20</v>
      </c>
      <c r="O4" s="0"/>
      <c r="P4" s="0"/>
      <c r="Q4" s="19" t="n">
        <f aca="false">M4*N4</f>
        <v>424000000000000</v>
      </c>
      <c r="R4" s="21" t="n">
        <f aca="false">A4*N4</f>
        <v>63.6</v>
      </c>
      <c r="S4" s="0"/>
      <c r="T4" s="22" t="n">
        <f aca="false">(G4-F4)/H4/E4</f>
        <v>0.0983606557377049</v>
      </c>
      <c r="U4" s="22" t="n">
        <f aca="false">T4/2</f>
        <v>0.0491803278688525</v>
      </c>
      <c r="V4" s="0"/>
      <c r="W4" s="0"/>
      <c r="X4" s="0"/>
      <c r="Y4" s="0"/>
      <c r="Z4" s="40" t="s">
        <v>103</v>
      </c>
      <c r="AA4" s="19" t="s">
        <v>104</v>
      </c>
      <c r="AB4" s="41" t="n">
        <v>2006</v>
      </c>
      <c r="AC4" s="40" t="s">
        <v>105</v>
      </c>
      <c r="AD4" s="0"/>
      <c r="AE4" s="0"/>
      <c r="AF4" s="0"/>
      <c r="AG4" s="19" t="s">
        <v>106</v>
      </c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true" outlineLevel="0" collapsed="false">
      <c r="A5" s="14" t="n">
        <v>6.36</v>
      </c>
      <c r="B5" s="0"/>
      <c r="C5" s="0"/>
      <c r="D5" s="14" t="n">
        <f aca="false">E5/I5</f>
        <v>0.740645161290323</v>
      </c>
      <c r="E5" s="15" t="n">
        <f aca="false">(G5+F5)/2/H5</f>
        <v>574</v>
      </c>
      <c r="F5" s="44" t="n">
        <v>5580</v>
      </c>
      <c r="G5" s="45" t="n">
        <v>5900</v>
      </c>
      <c r="H5" s="39" t="n">
        <v>10</v>
      </c>
      <c r="I5" s="19" t="n">
        <v>775</v>
      </c>
      <c r="J5" s="19" t="n">
        <v>0.15</v>
      </c>
      <c r="K5" s="0"/>
      <c r="M5" s="20" t="n">
        <f aca="false">0.0001*A5*10000/(J5*0.000000000001)</f>
        <v>42400000000000</v>
      </c>
      <c r="N5" s="19" t="n">
        <v>50</v>
      </c>
      <c r="O5" s="0"/>
      <c r="P5" s="0"/>
      <c r="Q5" s="19" t="n">
        <f aca="false">M5*N5</f>
        <v>2120000000000000</v>
      </c>
      <c r="R5" s="21" t="n">
        <f aca="false">A5*N5</f>
        <v>318</v>
      </c>
      <c r="S5" s="0"/>
      <c r="T5" s="22" t="n">
        <f aca="false">(G5-F5)/H5/E5</f>
        <v>0.0557491289198606</v>
      </c>
      <c r="U5" s="22" t="n">
        <f aca="false">T5/2</f>
        <v>0.0278745644599303</v>
      </c>
      <c r="Y5" s="0"/>
      <c r="Z5" s="40" t="s">
        <v>103</v>
      </c>
      <c r="AA5" s="19" t="s">
        <v>104</v>
      </c>
      <c r="AB5" s="41" t="n">
        <v>2006</v>
      </c>
      <c r="AC5" s="40" t="s">
        <v>105</v>
      </c>
      <c r="AD5" s="0"/>
      <c r="AE5" s="0"/>
      <c r="AF5" s="0"/>
      <c r="AG5" s="19" t="s">
        <v>106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4" hidden="false" customHeight="false" outlineLevel="0" collapsed="false">
      <c r="A6" s="46" t="n">
        <v>3.8</v>
      </c>
      <c r="B6" s="46"/>
      <c r="C6" s="46"/>
      <c r="D6" s="14" t="n">
        <f aca="false">E6/I6</f>
        <v>0.9625</v>
      </c>
      <c r="E6" s="47" t="n">
        <f aca="false">(G6+F6)/2/H6</f>
        <v>770</v>
      </c>
      <c r="F6" s="48" t="n">
        <v>730</v>
      </c>
      <c r="G6" s="49" t="n">
        <v>810</v>
      </c>
      <c r="H6" s="50" t="n">
        <v>1</v>
      </c>
      <c r="I6" s="51" t="n">
        <v>800</v>
      </c>
      <c r="J6" s="51" t="n">
        <v>0.13</v>
      </c>
      <c r="K6" s="51"/>
      <c r="M6" s="52" t="n">
        <f aca="false">0.0001*A6*10000/(J6*0.000000000001)</f>
        <v>29230769230769.2</v>
      </c>
      <c r="N6" s="51" t="n">
        <v>1</v>
      </c>
      <c r="O6" s="51"/>
      <c r="P6" s="51"/>
      <c r="Q6" s="53" t="n">
        <f aca="false">M6*N6</f>
        <v>29230769230769.2</v>
      </c>
      <c r="R6" s="54" t="n">
        <f aca="false">A6*N6</f>
        <v>3.8</v>
      </c>
      <c r="S6" s="54" t="n">
        <f aca="false">(G6-F6)/4/H6</f>
        <v>20</v>
      </c>
      <c r="T6" s="55" t="n">
        <f aca="false">(G6-F6)/H6/E6</f>
        <v>0.103896103896104</v>
      </c>
      <c r="U6" s="22" t="n">
        <f aca="false">T6/2</f>
        <v>0.051948051948052</v>
      </c>
      <c r="V6" s="56"/>
      <c r="W6" s="57" t="n">
        <v>2.28E+028</v>
      </c>
      <c r="X6" s="56" t="s">
        <v>112</v>
      </c>
      <c r="Y6" s="0"/>
      <c r="Z6" s="58" t="s">
        <v>113</v>
      </c>
      <c r="AA6" s="51" t="s">
        <v>114</v>
      </c>
      <c r="AB6" s="59" t="n">
        <v>2010</v>
      </c>
      <c r="AC6" s="58" t="s">
        <v>110</v>
      </c>
      <c r="AD6" s="51"/>
      <c r="AE6" s="51"/>
      <c r="AF6" s="51"/>
      <c r="AG6" s="19" t="s">
        <v>111</v>
      </c>
      <c r="AH6" s="19" t="n">
        <v>1.12</v>
      </c>
      <c r="AI6" s="51" t="s">
        <v>115</v>
      </c>
      <c r="AJ6" s="60" t="n">
        <f aca="false">150/0.0000000000001</f>
        <v>1500000000000000</v>
      </c>
      <c r="AK6" s="60" t="n">
        <f aca="false">500/0.0000000000001</f>
        <v>5000000000000000</v>
      </c>
      <c r="AL6" s="60"/>
      <c r="AM6" s="51" t="s">
        <v>116</v>
      </c>
      <c r="AN6" s="61" t="n">
        <v>10000</v>
      </c>
      <c r="AO6" s="58" t="n">
        <v>10</v>
      </c>
      <c r="AP6" s="62" t="n">
        <v>-1000000000000000</v>
      </c>
      <c r="AQ6" s="62"/>
      <c r="AR6" s="62"/>
      <c r="AS6" s="63" t="n">
        <v>25</v>
      </c>
      <c r="AT6" s="63"/>
      <c r="AU6" s="51" t="n">
        <v>0</v>
      </c>
      <c r="AV6" s="51" t="n">
        <v>0</v>
      </c>
      <c r="AW6" s="19" t="s">
        <v>117</v>
      </c>
      <c r="AX6" s="59" t="n">
        <v>0</v>
      </c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4" hidden="false" customHeight="false" outlineLevel="0" collapsed="false">
      <c r="A7" s="14" t="n">
        <v>0.42</v>
      </c>
      <c r="B7" s="0"/>
      <c r="C7" s="0"/>
      <c r="D7" s="14" t="n">
        <f aca="false">E7/I7</f>
        <v>0.875</v>
      </c>
      <c r="E7" s="15" t="n">
        <f aca="false">(G7+F7)/2/H7</f>
        <v>700</v>
      </c>
      <c r="F7" s="38" t="n">
        <v>650</v>
      </c>
      <c r="G7" s="17" t="n">
        <v>750</v>
      </c>
      <c r="H7" s="39" t="n">
        <v>1</v>
      </c>
      <c r="I7" s="64" t="n">
        <v>800</v>
      </c>
      <c r="J7" s="64" t="n">
        <v>0.13</v>
      </c>
      <c r="K7" s="64"/>
      <c r="M7" s="20" t="n">
        <f aca="false">0.0001*A7*10000/(J7*0.000000000001)</f>
        <v>3230769230769.23</v>
      </c>
      <c r="N7" s="64" t="n">
        <v>5</v>
      </c>
      <c r="O7" s="64"/>
      <c r="P7" s="64"/>
      <c r="Q7" s="53" t="n">
        <f aca="false">M7*N7</f>
        <v>16153846153846.2</v>
      </c>
      <c r="R7" s="21" t="n">
        <f aca="false">A7*N7</f>
        <v>2.1</v>
      </c>
      <c r="S7" s="65" t="n">
        <f aca="false">(G7-F7)/4/H7</f>
        <v>25</v>
      </c>
      <c r="T7" s="22" t="n">
        <f aca="false">(G7-F7)/H7/E7</f>
        <v>0.142857142857143</v>
      </c>
      <c r="U7" s="22" t="n">
        <f aca="false">T7/2</f>
        <v>0.0714285714285714</v>
      </c>
      <c r="Y7" s="0"/>
      <c r="Z7" s="40" t="s">
        <v>113</v>
      </c>
      <c r="AA7" s="64" t="s">
        <v>114</v>
      </c>
      <c r="AB7" s="41" t="n">
        <v>2010</v>
      </c>
      <c r="AC7" s="40" t="s">
        <v>110</v>
      </c>
      <c r="AD7" s="0"/>
      <c r="AE7" s="0"/>
      <c r="AF7" s="0"/>
      <c r="AG7" s="19" t="s">
        <v>111</v>
      </c>
      <c r="AH7" s="19" t="n">
        <v>1.12</v>
      </c>
      <c r="AI7" s="64" t="s">
        <v>115</v>
      </c>
      <c r="AJ7" s="66" t="n">
        <f aca="false">150/0.0000000000001</f>
        <v>1500000000000000</v>
      </c>
      <c r="AK7" s="66" t="n">
        <f aca="false">500/0.0000000000001</f>
        <v>5000000000000000</v>
      </c>
      <c r="AL7" s="66"/>
      <c r="AM7" s="19" t="s">
        <v>116</v>
      </c>
      <c r="AN7" s="53" t="n">
        <v>10000</v>
      </c>
      <c r="AO7" s="67" t="n">
        <v>10</v>
      </c>
      <c r="AP7" s="68" t="n">
        <v>-1000000000000000</v>
      </c>
      <c r="AQ7" s="68"/>
      <c r="AR7" s="68"/>
      <c r="AS7" s="26" t="n">
        <v>25</v>
      </c>
      <c r="AT7" s="0"/>
      <c r="AU7" s="64" t="n">
        <v>0</v>
      </c>
      <c r="AV7" s="19" t="n">
        <v>0</v>
      </c>
      <c r="AW7" s="19" t="s">
        <v>117</v>
      </c>
      <c r="AX7" s="69" t="n">
        <v>0</v>
      </c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4" hidden="false" customHeight="false" outlineLevel="0" collapsed="false">
      <c r="A8" s="14" t="n">
        <v>2.5</v>
      </c>
      <c r="B8" s="0"/>
      <c r="C8" s="0"/>
      <c r="D8" s="14" t="n">
        <f aca="false">E8/I8</f>
        <v>0.879206730769231</v>
      </c>
      <c r="E8" s="15" t="n">
        <f aca="false">(G8+F8)/2/H8</f>
        <v>685.78125</v>
      </c>
      <c r="F8" s="38" t="n">
        <v>21630</v>
      </c>
      <c r="G8" s="17" t="n">
        <v>22260</v>
      </c>
      <c r="H8" s="39" t="n">
        <v>32</v>
      </c>
      <c r="I8" s="64" t="n">
        <v>780</v>
      </c>
      <c r="J8" s="70" t="n">
        <v>0.005</v>
      </c>
      <c r="K8" s="70"/>
      <c r="M8" s="20" t="n">
        <f aca="false">0.0001*A8*10000/(J8*0.000000000001)</f>
        <v>500000000000000</v>
      </c>
      <c r="N8" s="64" t="n">
        <v>5</v>
      </c>
      <c r="O8" s="64"/>
      <c r="P8" s="64"/>
      <c r="Q8" s="53" t="n">
        <f aca="false">M8*N8</f>
        <v>2500000000000000</v>
      </c>
      <c r="R8" s="21" t="n">
        <f aca="false">A8*N8</f>
        <v>12.5</v>
      </c>
      <c r="S8" s="65" t="n">
        <f aca="false">(G8-F8)/4/H8</f>
        <v>4.921875</v>
      </c>
      <c r="T8" s="22" t="n">
        <f aca="false">(G8-F8)/H8/E8</f>
        <v>0.0287081339712919</v>
      </c>
      <c r="U8" s="22" t="n">
        <f aca="false">T8/2</f>
        <v>0.0143540669856459</v>
      </c>
      <c r="V8" s="0"/>
      <c r="W8" s="0"/>
      <c r="X8" s="0"/>
      <c r="Y8" s="0"/>
      <c r="Z8" s="40" t="s">
        <v>113</v>
      </c>
      <c r="AA8" s="64" t="s">
        <v>118</v>
      </c>
      <c r="AB8" s="41" t="n">
        <v>2001</v>
      </c>
      <c r="AC8" s="40" t="s">
        <v>110</v>
      </c>
      <c r="AD8" s="0"/>
      <c r="AE8" s="0"/>
      <c r="AF8" s="0"/>
      <c r="AG8" s="19" t="s">
        <v>111</v>
      </c>
      <c r="AH8" s="19" t="n">
        <v>1.12</v>
      </c>
      <c r="AI8" s="64" t="s">
        <v>115</v>
      </c>
      <c r="AJ8" s="66" t="n">
        <f aca="false">150/0.0000000000001</f>
        <v>1500000000000000</v>
      </c>
      <c r="AK8" s="66" t="n">
        <f aca="false">500/0.0000000000001</f>
        <v>5000000000000000</v>
      </c>
      <c r="AL8" s="66"/>
      <c r="AM8" s="19" t="s">
        <v>116</v>
      </c>
      <c r="AN8" s="68" t="n">
        <v>10000</v>
      </c>
      <c r="AO8" s="67"/>
      <c r="AP8" s="68" t="n">
        <v>-1000000000000000</v>
      </c>
      <c r="AQ8" s="68"/>
      <c r="AR8" s="68"/>
      <c r="AS8" s="0"/>
      <c r="AT8" s="0"/>
      <c r="AU8" s="19" t="n">
        <v>0</v>
      </c>
      <c r="AV8" s="19" t="n">
        <v>0</v>
      </c>
      <c r="AW8" s="19" t="s">
        <v>117</v>
      </c>
      <c r="AX8" s="69" t="n">
        <v>0</v>
      </c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4" hidden="false" customHeight="false" outlineLevel="0" collapsed="false">
      <c r="A9" s="14" t="n">
        <v>0.42</v>
      </c>
      <c r="B9" s="0"/>
      <c r="C9" s="0"/>
      <c r="D9" s="14" t="n">
        <f aca="false">E9/I9</f>
        <v>0.893452380952381</v>
      </c>
      <c r="E9" s="15" t="n">
        <f aca="false">(G9+F9)/2/H9</f>
        <v>714.761904761905</v>
      </c>
      <c r="F9" s="38" t="n">
        <v>14680</v>
      </c>
      <c r="G9" s="17" t="n">
        <v>15340</v>
      </c>
      <c r="H9" s="39" t="n">
        <v>21</v>
      </c>
      <c r="I9" s="64" t="n">
        <v>800</v>
      </c>
      <c r="J9" s="64" t="n">
        <v>0.13</v>
      </c>
      <c r="K9" s="64"/>
      <c r="M9" s="20" t="n">
        <f aca="false">0.0001*A9*10000/(J9*0.000000000001)</f>
        <v>3230769230769.23</v>
      </c>
      <c r="N9" s="64" t="n">
        <v>5</v>
      </c>
      <c r="O9" s="64"/>
      <c r="P9" s="64"/>
      <c r="Q9" s="53" t="n">
        <f aca="false">M9*N9</f>
        <v>16153846153846.2</v>
      </c>
      <c r="R9" s="21" t="n">
        <f aca="false">A9*N9</f>
        <v>2.1</v>
      </c>
      <c r="S9" s="65" t="n">
        <f aca="false">(G9-F9)/4/H9</f>
        <v>7.85714285714286</v>
      </c>
      <c r="T9" s="22" t="n">
        <f aca="false">(G9-F9)/H9/E9</f>
        <v>0.0439706862091939</v>
      </c>
      <c r="U9" s="22" t="n">
        <f aca="false">T9/2</f>
        <v>0.0219853431045969</v>
      </c>
      <c r="V9" s="0"/>
      <c r="W9" s="0"/>
      <c r="X9" s="0"/>
      <c r="Y9" s="0"/>
      <c r="Z9" s="40" t="s">
        <v>113</v>
      </c>
      <c r="AA9" s="64" t="s">
        <v>114</v>
      </c>
      <c r="AB9" s="41" t="n">
        <v>2010</v>
      </c>
      <c r="AC9" s="40" t="s">
        <v>110</v>
      </c>
      <c r="AD9" s="0"/>
      <c r="AE9" s="0"/>
      <c r="AF9" s="0"/>
      <c r="AG9" s="19" t="s">
        <v>111</v>
      </c>
      <c r="AH9" s="19" t="n">
        <v>1.12</v>
      </c>
      <c r="AI9" s="64" t="s">
        <v>115</v>
      </c>
      <c r="AJ9" s="66" t="n">
        <f aca="false">150/0.0000000000001</f>
        <v>1500000000000000</v>
      </c>
      <c r="AK9" s="66" t="n">
        <f aca="false">500/0.0000000000001</f>
        <v>5000000000000000</v>
      </c>
      <c r="AL9" s="66"/>
      <c r="AM9" s="19" t="s">
        <v>116</v>
      </c>
      <c r="AN9" s="53" t="n">
        <v>10000</v>
      </c>
      <c r="AO9" s="67" t="n">
        <v>10</v>
      </c>
      <c r="AP9" s="68" t="n">
        <v>-1000000000000000</v>
      </c>
      <c r="AQ9" s="68"/>
      <c r="AR9" s="68"/>
      <c r="AS9" s="26" t="n">
        <v>25</v>
      </c>
      <c r="AT9" s="0"/>
      <c r="AU9" s="64" t="n">
        <v>0</v>
      </c>
      <c r="AV9" s="19" t="n">
        <v>0</v>
      </c>
      <c r="AW9" s="19" t="s">
        <v>117</v>
      </c>
      <c r="AX9" s="69" t="n">
        <v>0</v>
      </c>
      <c r="AY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4.4" hidden="false" customHeight="false" outlineLevel="0" collapsed="false">
      <c r="A10" s="14" t="n">
        <v>0.42</v>
      </c>
      <c r="B10" s="0"/>
      <c r="C10" s="0"/>
      <c r="D10" s="14" t="n">
        <f aca="false">E10/I10</f>
        <v>0.931907894736842</v>
      </c>
      <c r="E10" s="15" t="n">
        <f aca="false">(G10+F10)/2/H10</f>
        <v>745.526315789474</v>
      </c>
      <c r="F10" s="44" t="n">
        <v>13960</v>
      </c>
      <c r="G10" s="45" t="n">
        <v>14370</v>
      </c>
      <c r="H10" s="39" t="n">
        <v>19</v>
      </c>
      <c r="I10" s="64" t="n">
        <v>800</v>
      </c>
      <c r="J10" s="64" t="n">
        <v>0.13</v>
      </c>
      <c r="K10" s="64"/>
      <c r="M10" s="20" t="n">
        <f aca="false">0.0001*A10*10000/(J10*0.000000000001)</f>
        <v>3230769230769.23</v>
      </c>
      <c r="N10" s="64" t="n">
        <v>5</v>
      </c>
      <c r="O10" s="64"/>
      <c r="P10" s="64"/>
      <c r="Q10" s="53" t="n">
        <f aca="false">M10*N10</f>
        <v>16153846153846.2</v>
      </c>
      <c r="R10" s="21" t="n">
        <f aca="false">A10*N10</f>
        <v>2.1</v>
      </c>
      <c r="S10" s="65" t="n">
        <f aca="false">(G10-F10)/4/H10</f>
        <v>5.39473684210526</v>
      </c>
      <c r="T10" s="22" t="n">
        <f aca="false">(G10-F10)/H10/E10</f>
        <v>0.0289445817154959</v>
      </c>
      <c r="U10" s="22" t="n">
        <f aca="false">T10/2</f>
        <v>0.014472290857748</v>
      </c>
      <c r="V10" s="0"/>
      <c r="W10" s="0"/>
      <c r="X10" s="0"/>
      <c r="Y10" s="0"/>
      <c r="Z10" s="40" t="s">
        <v>113</v>
      </c>
      <c r="AA10" s="64" t="s">
        <v>119</v>
      </c>
      <c r="AB10" s="41" t="n">
        <v>2009</v>
      </c>
      <c r="AC10" s="40" t="s">
        <v>110</v>
      </c>
      <c r="AD10" s="0"/>
      <c r="AE10" s="0"/>
      <c r="AF10" s="0"/>
      <c r="AG10" s="19" t="s">
        <v>111</v>
      </c>
      <c r="AH10" s="19" t="n">
        <v>1.12</v>
      </c>
      <c r="AI10" s="64" t="s">
        <v>115</v>
      </c>
      <c r="AJ10" s="66" t="n">
        <f aca="false">150/0.0000000000001</f>
        <v>1500000000000000</v>
      </c>
      <c r="AK10" s="66" t="n">
        <f aca="false">500/0.0000000000001</f>
        <v>5000000000000000</v>
      </c>
      <c r="AL10" s="66"/>
      <c r="AM10" s="71" t="s">
        <v>116</v>
      </c>
      <c r="AN10" s="53" t="n">
        <v>10000</v>
      </c>
      <c r="AO10" s="67"/>
      <c r="AP10" s="68" t="n">
        <v>-1000000000000000</v>
      </c>
      <c r="AQ10" s="68"/>
      <c r="AR10" s="68"/>
      <c r="AS10" s="26" t="n">
        <v>25.8</v>
      </c>
      <c r="AT10" s="0"/>
      <c r="AU10" s="64" t="n">
        <v>0</v>
      </c>
      <c r="AV10" s="19" t="n">
        <v>0</v>
      </c>
      <c r="AW10" s="19" t="s">
        <v>117</v>
      </c>
      <c r="AX10" s="69" t="n">
        <v>0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4.4" hidden="false" customHeight="false" outlineLevel="0" collapsed="false">
      <c r="A11" s="14" t="n">
        <v>0.42</v>
      </c>
      <c r="B11" s="0"/>
      <c r="C11" s="0"/>
      <c r="D11" s="14" t="n">
        <f aca="false">E11/I11</f>
        <v>0.933881578947368</v>
      </c>
      <c r="E11" s="15" t="n">
        <f aca="false">(G11+F11)/2/H11</f>
        <v>747.105263157895</v>
      </c>
      <c r="F11" s="38" t="n">
        <v>14050</v>
      </c>
      <c r="G11" s="17" t="n">
        <v>14340</v>
      </c>
      <c r="H11" s="39" t="n">
        <v>19</v>
      </c>
      <c r="I11" s="64" t="n">
        <v>800</v>
      </c>
      <c r="J11" s="64" t="n">
        <v>0.13</v>
      </c>
      <c r="K11" s="64"/>
      <c r="M11" s="20" t="n">
        <f aca="false">0.0001*A11*10000/(J11*0.000000000001)</f>
        <v>3230769230769.23</v>
      </c>
      <c r="N11" s="64" t="n">
        <v>5</v>
      </c>
      <c r="O11" s="64"/>
      <c r="P11" s="64"/>
      <c r="Q11" s="53" t="n">
        <f aca="false">M11*N11</f>
        <v>16153846153846.2</v>
      </c>
      <c r="R11" s="21" t="n">
        <f aca="false">A11*N11</f>
        <v>2.1</v>
      </c>
      <c r="S11" s="65" t="n">
        <f aca="false">(G11-F11)/4/H11</f>
        <v>3.81578947368421</v>
      </c>
      <c r="T11" s="72" t="n">
        <f aca="false">(G11-F11)/H11/E11</f>
        <v>0.0204297287777386</v>
      </c>
      <c r="U11" s="22" t="n">
        <f aca="false">T11/2</f>
        <v>0.0102148643888693</v>
      </c>
      <c r="V11" s="0"/>
      <c r="W11" s="0"/>
      <c r="X11" s="0"/>
      <c r="Y11" s="0"/>
      <c r="Z11" s="40" t="s">
        <v>113</v>
      </c>
      <c r="AA11" s="64" t="s">
        <v>118</v>
      </c>
      <c r="AB11" s="41" t="n">
        <v>2001</v>
      </c>
      <c r="AC11" s="40" t="s">
        <v>110</v>
      </c>
      <c r="AD11" s="0"/>
      <c r="AE11" s="0"/>
      <c r="AF11" s="0"/>
      <c r="AG11" s="19" t="s">
        <v>111</v>
      </c>
      <c r="AH11" s="19" t="n">
        <v>1.12</v>
      </c>
      <c r="AI11" s="64" t="s">
        <v>115</v>
      </c>
      <c r="AJ11" s="66" t="n">
        <f aca="false">150/0.0000000000001</f>
        <v>1500000000000000</v>
      </c>
      <c r="AK11" s="66" t="n">
        <f aca="false">500/0.0000000000001</f>
        <v>5000000000000000</v>
      </c>
      <c r="AL11" s="66"/>
      <c r="AM11" s="19" t="s">
        <v>116</v>
      </c>
      <c r="AN11" s="53" t="n">
        <v>10000</v>
      </c>
      <c r="AO11" s="67"/>
      <c r="AP11" s="68" t="n">
        <v>-1000000000000000</v>
      </c>
      <c r="AQ11" s="68"/>
      <c r="AR11" s="68"/>
      <c r="AS11" s="0"/>
      <c r="AT11" s="0"/>
      <c r="AU11" s="19" t="n">
        <v>0</v>
      </c>
      <c r="AV11" s="19" t="n">
        <v>0</v>
      </c>
      <c r="AW11" s="19" t="s">
        <v>117</v>
      </c>
      <c r="AX11" s="69" t="n">
        <v>0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4.4" hidden="false" customHeight="false" outlineLevel="0" collapsed="false">
      <c r="A12" s="14" t="n">
        <v>0.42</v>
      </c>
      <c r="B12" s="0"/>
      <c r="C12" s="0"/>
      <c r="D12" s="14" t="n">
        <f aca="false">E12/I12</f>
        <v>0.85125</v>
      </c>
      <c r="E12" s="15" t="n">
        <f aca="false">(G12+F12)/2/H12</f>
        <v>681</v>
      </c>
      <c r="F12" s="38" t="n">
        <v>631</v>
      </c>
      <c r="G12" s="17" t="n">
        <v>731</v>
      </c>
      <c r="H12" s="39" t="n">
        <v>1</v>
      </c>
      <c r="I12" s="64" t="n">
        <v>800</v>
      </c>
      <c r="J12" s="64" t="n">
        <v>0.13</v>
      </c>
      <c r="K12" s="64"/>
      <c r="M12" s="20" t="n">
        <f aca="false">0.0001*A12*10000/(J12*0.000000000001)</f>
        <v>3230769230769.23</v>
      </c>
      <c r="N12" s="64" t="n">
        <v>10</v>
      </c>
      <c r="O12" s="64"/>
      <c r="P12" s="64"/>
      <c r="Q12" s="53" t="n">
        <f aca="false">M12*N12</f>
        <v>32307692307692.3</v>
      </c>
      <c r="R12" s="21" t="n">
        <f aca="false">A12*N12</f>
        <v>4.2</v>
      </c>
      <c r="S12" s="65" t="n">
        <f aca="false">(G12-F12)/4/H12</f>
        <v>25</v>
      </c>
      <c r="T12" s="22" t="n">
        <f aca="false">(G12-F12)/H12/E12</f>
        <v>0.146842878120411</v>
      </c>
      <c r="U12" s="22" t="n">
        <f aca="false">T12/2</f>
        <v>0.0734214390602056</v>
      </c>
      <c r="V12" s="0"/>
      <c r="W12" s="0"/>
      <c r="X12" s="0"/>
      <c r="Y12" s="0"/>
      <c r="Z12" s="40" t="s">
        <v>113</v>
      </c>
      <c r="AA12" s="64" t="s">
        <v>114</v>
      </c>
      <c r="AB12" s="41" t="n">
        <v>2010</v>
      </c>
      <c r="AC12" s="40" t="s">
        <v>110</v>
      </c>
      <c r="AD12" s="0"/>
      <c r="AE12" s="0"/>
      <c r="AF12" s="0"/>
      <c r="AG12" s="19" t="s">
        <v>111</v>
      </c>
      <c r="AH12" s="19" t="n">
        <v>1.12</v>
      </c>
      <c r="AI12" s="64" t="s">
        <v>115</v>
      </c>
      <c r="AJ12" s="66" t="n">
        <f aca="false">150/0.0000000000001</f>
        <v>1500000000000000</v>
      </c>
      <c r="AK12" s="66" t="n">
        <f aca="false">500/0.0000000000001</f>
        <v>5000000000000000</v>
      </c>
      <c r="AL12" s="66"/>
      <c r="AM12" s="19" t="s">
        <v>116</v>
      </c>
      <c r="AN12" s="53" t="n">
        <v>10000</v>
      </c>
      <c r="AO12" s="67" t="n">
        <v>10</v>
      </c>
      <c r="AP12" s="68" t="n">
        <v>-1000000000000000</v>
      </c>
      <c r="AQ12" s="68"/>
      <c r="AR12" s="68"/>
      <c r="AS12" s="26" t="n">
        <v>25</v>
      </c>
      <c r="AT12" s="0"/>
      <c r="AU12" s="64" t="n">
        <v>0</v>
      </c>
      <c r="AV12" s="19" t="n">
        <v>0</v>
      </c>
      <c r="AW12" s="19" t="s">
        <v>117</v>
      </c>
      <c r="AX12" s="69" t="n">
        <v>0</v>
      </c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4.4" hidden="false" customHeight="false" outlineLevel="0" collapsed="false">
      <c r="A13" s="0"/>
      <c r="B13" s="0"/>
      <c r="C13" s="0"/>
      <c r="D13" s="14" t="n">
        <f aca="false">E13/I13</f>
        <v>0.761904761904762</v>
      </c>
      <c r="E13" s="15" t="n">
        <v>1600</v>
      </c>
      <c r="F13" s="44"/>
      <c r="G13" s="45"/>
      <c r="H13" s="0"/>
      <c r="I13" s="64" t="n">
        <v>2100</v>
      </c>
      <c r="J13" s="64" t="n">
        <v>0.09</v>
      </c>
      <c r="K13" s="70" t="n">
        <v>3.8E-006</v>
      </c>
      <c r="L13" s="56"/>
      <c r="M13" s="20" t="n">
        <f aca="false">0.0001*A13*10000/(J13*0.000000000001)</f>
        <v>0</v>
      </c>
      <c r="N13" s="64" t="n">
        <v>20</v>
      </c>
      <c r="O13" s="64"/>
      <c r="P13" s="64"/>
      <c r="Q13" s="53" t="n">
        <f aca="false">M13*N13</f>
        <v>0</v>
      </c>
      <c r="R13" s="21" t="n">
        <f aca="false">A13*N13</f>
        <v>0</v>
      </c>
      <c r="S13" s="54" t="e">
        <f aca="false">(G13-F13)/2/H13</f>
        <v>#DIV/0!</v>
      </c>
      <c r="T13" s="0"/>
      <c r="U13" s="22" t="n">
        <f aca="false">T13/2</f>
        <v>0</v>
      </c>
      <c r="V13" s="0"/>
      <c r="W13" s="0"/>
      <c r="X13" s="0"/>
      <c r="Y13" s="0"/>
      <c r="Z13" s="40" t="s">
        <v>120</v>
      </c>
      <c r="AA13" s="19" t="s">
        <v>121</v>
      </c>
      <c r="AB13" s="41" t="n">
        <v>2003</v>
      </c>
      <c r="AC13" s="40" t="s">
        <v>110</v>
      </c>
      <c r="AD13" s="0"/>
      <c r="AE13" s="0"/>
      <c r="AF13" s="0"/>
      <c r="AG13" s="0"/>
      <c r="AH13" s="0"/>
      <c r="AI13" s="0"/>
      <c r="AJ13" s="66"/>
      <c r="AK13" s="66"/>
      <c r="AL13" s="66"/>
      <c r="AM13" s="64"/>
      <c r="AN13" s="53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5" hidden="false" customHeight="true" outlineLevel="0" collapsed="false">
      <c r="A14" s="14" t="n">
        <f aca="false">0.0000011/((0.0000155/2)^2*PI())*0.0001</f>
        <v>0.582960873760116</v>
      </c>
      <c r="B14" s="0"/>
      <c r="C14" s="0"/>
      <c r="D14" s="14" t="n">
        <f aca="false">E14/I14</f>
        <v>0.204761904761905</v>
      </c>
      <c r="E14" s="15" t="n">
        <v>430</v>
      </c>
      <c r="F14" s="0"/>
      <c r="G14" s="0"/>
      <c r="H14" s="0"/>
      <c r="I14" s="19" t="n">
        <v>2100</v>
      </c>
      <c r="J14" s="19" t="n">
        <v>0.2</v>
      </c>
      <c r="K14" s="0"/>
      <c r="M14" s="20" t="n">
        <f aca="false">0.0001*A14*10000/(J14*0.000000000001)</f>
        <v>2914804368800.58</v>
      </c>
      <c r="N14" s="64" t="n">
        <v>20</v>
      </c>
      <c r="O14" s="64"/>
      <c r="P14" s="64"/>
      <c r="Q14" s="53" t="n">
        <f aca="false">M14*N14</f>
        <v>58296087376011.6</v>
      </c>
      <c r="R14" s="21" t="n">
        <f aca="false">A14*N14</f>
        <v>11.6592174752023</v>
      </c>
      <c r="S14" s="0"/>
      <c r="T14" s="0"/>
      <c r="U14" s="22" t="n">
        <f aca="false">T14/2</f>
        <v>0</v>
      </c>
      <c r="V14" s="0"/>
      <c r="W14" s="0"/>
      <c r="X14" s="0"/>
      <c r="Y14" s="0"/>
      <c r="Z14" s="40" t="s">
        <v>120</v>
      </c>
      <c r="AA14" s="19" t="s">
        <v>121</v>
      </c>
      <c r="AB14" s="41" t="n">
        <v>2003</v>
      </c>
      <c r="AC14" s="40" t="s">
        <v>122</v>
      </c>
      <c r="AD14" s="0"/>
      <c r="AE14" s="0"/>
      <c r="AF14" s="0"/>
      <c r="AG14" s="19" t="s">
        <v>111</v>
      </c>
      <c r="AH14" s="0"/>
      <c r="AI14" s="0"/>
      <c r="AJ14" s="43"/>
      <c r="AK14" s="43"/>
      <c r="AL14" s="43"/>
      <c r="AM14" s="71" t="s">
        <v>116</v>
      </c>
      <c r="AN14" s="68" t="n">
        <v>10000</v>
      </c>
      <c r="AO14" s="0"/>
      <c r="AP14" s="0"/>
      <c r="AQ14" s="0"/>
      <c r="AR14" s="0"/>
      <c r="AS14" s="0"/>
      <c r="AT14" s="0"/>
      <c r="AU14" s="19" t="n">
        <v>0</v>
      </c>
      <c r="AV14" s="19" t="n">
        <v>0</v>
      </c>
      <c r="AW14" s="19" t="s">
        <v>117</v>
      </c>
      <c r="AX14" s="69" t="n">
        <v>0</v>
      </c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s="56" customFormat="true" ht="14.4" hidden="false" customHeight="false" outlineLevel="0" collapsed="false">
      <c r="A15" s="14"/>
      <c r="B15" s="14"/>
      <c r="C15" s="14"/>
      <c r="D15" s="14" t="n">
        <f aca="false">E15/I15</f>
        <v>0.807692307692308</v>
      </c>
      <c r="E15" s="15" t="n">
        <v>1050</v>
      </c>
      <c r="F15" s="44"/>
      <c r="G15" s="45"/>
      <c r="H15" s="39"/>
      <c r="I15" s="64" t="n">
        <v>1300</v>
      </c>
      <c r="J15" s="64" t="n">
        <v>0.09</v>
      </c>
      <c r="K15" s="70"/>
      <c r="M15" s="20" t="n">
        <f aca="false">0.0001*A15*10000/(J15*0.000000000001)</f>
        <v>0</v>
      </c>
      <c r="N15" s="64" t="n">
        <v>20</v>
      </c>
      <c r="O15" s="64"/>
      <c r="P15" s="64"/>
      <c r="Q15" s="53" t="n">
        <f aca="false">M15*N15</f>
        <v>0</v>
      </c>
      <c r="R15" s="21" t="n">
        <f aca="false">A15*N15</f>
        <v>0</v>
      </c>
      <c r="S15" s="54" t="e">
        <f aca="false">(G15-F15)/2/H15</f>
        <v>#DIV/0!</v>
      </c>
      <c r="T15" s="22"/>
      <c r="U15" s="22" t="n">
        <f aca="false">T15/2</f>
        <v>0</v>
      </c>
      <c r="V15" s="23"/>
      <c r="W15" s="23"/>
      <c r="X15" s="23"/>
      <c r="Y15" s="23"/>
      <c r="Z15" s="40" t="s">
        <v>120</v>
      </c>
      <c r="AA15" s="19" t="s">
        <v>121</v>
      </c>
      <c r="AB15" s="41" t="n">
        <v>2003</v>
      </c>
      <c r="AC15" s="40" t="s">
        <v>110</v>
      </c>
      <c r="AD15" s="19"/>
      <c r="AE15" s="19"/>
      <c r="AF15" s="19"/>
      <c r="AG15" s="19"/>
      <c r="AH15" s="19" t="n">
        <v>1.12</v>
      </c>
      <c r="AI15" s="19"/>
      <c r="AJ15" s="66"/>
      <c r="AK15" s="66"/>
      <c r="AL15" s="66"/>
      <c r="AM15" s="64"/>
      <c r="AN15" s="53"/>
      <c r="AO15" s="40"/>
      <c r="AP15" s="19"/>
      <c r="AQ15" s="19"/>
      <c r="AR15" s="19"/>
      <c r="AS15" s="26"/>
      <c r="AT15" s="26"/>
      <c r="AU15" s="19"/>
      <c r="AV15" s="19"/>
      <c r="AW15" s="19"/>
      <c r="AX15" s="41"/>
      <c r="AY15" s="23"/>
      <c r="AZ15" s="23"/>
    </row>
    <row r="16" customFormat="false" ht="14.4" hidden="false" customHeight="false" outlineLevel="0" collapsed="false">
      <c r="D16" s="14" t="n">
        <f aca="false">E16/I16</f>
        <v>0.8125</v>
      </c>
      <c r="E16" s="15" t="n">
        <v>650</v>
      </c>
      <c r="F16" s="44"/>
      <c r="G16" s="45"/>
      <c r="H16" s="39"/>
      <c r="I16" s="64" t="n">
        <v>800</v>
      </c>
      <c r="J16" s="64" t="n">
        <v>0.09</v>
      </c>
      <c r="K16" s="70"/>
      <c r="L16" s="56"/>
      <c r="M16" s="20" t="n">
        <f aca="false">0.0001*A16*10000/(J16*0.000000000001)</f>
        <v>0</v>
      </c>
      <c r="N16" s="64" t="n">
        <v>20</v>
      </c>
      <c r="O16" s="64"/>
      <c r="P16" s="64"/>
      <c r="Q16" s="53" t="n">
        <f aca="false">M16*N16</f>
        <v>0</v>
      </c>
      <c r="R16" s="21" t="n">
        <f aca="false">A16*N16</f>
        <v>0</v>
      </c>
      <c r="S16" s="54" t="e">
        <f aca="false">(G16-F16)/2/H16</f>
        <v>#DIV/0!</v>
      </c>
      <c r="U16" s="22" t="n">
        <f aca="false">T16/2</f>
        <v>0</v>
      </c>
      <c r="Z16" s="40" t="s">
        <v>120</v>
      </c>
      <c r="AA16" s="19" t="s">
        <v>121</v>
      </c>
      <c r="AB16" s="41" t="n">
        <v>2003</v>
      </c>
      <c r="AC16" s="40" t="s">
        <v>110</v>
      </c>
      <c r="AH16" s="19" t="n">
        <v>1.12</v>
      </c>
      <c r="AJ16" s="66"/>
      <c r="AK16" s="66"/>
      <c r="AL16" s="66"/>
      <c r="AM16" s="64"/>
      <c r="AN16" s="53"/>
      <c r="AO16" s="40"/>
      <c r="AX16" s="41"/>
    </row>
    <row r="17" customFormat="false" ht="14.4" hidden="false" customHeight="false" outlineLevel="0" collapsed="false">
      <c r="A17" s="14" t="n">
        <f aca="false">0.0000011/((0.0000155/2)^2*PI())*0.0001</f>
        <v>0.582960873760116</v>
      </c>
      <c r="D17" s="14" t="n">
        <f aca="false">E17/I17</f>
        <v>0.82797619047619</v>
      </c>
      <c r="E17" s="15" t="n">
        <f aca="false">(G17+F17)/2/H17</f>
        <v>1738.75</v>
      </c>
      <c r="F17" s="38" t="n">
        <v>6650</v>
      </c>
      <c r="G17" s="17" t="n">
        <v>7260</v>
      </c>
      <c r="H17" s="39" t="n">
        <v>4</v>
      </c>
      <c r="I17" s="19" t="n">
        <v>2100</v>
      </c>
      <c r="J17" s="19" t="n">
        <v>0.2</v>
      </c>
      <c r="M17" s="20" t="n">
        <f aca="false">0.0001*A17*10000/(J17*0.000000000001)</f>
        <v>2914804368800.58</v>
      </c>
      <c r="N17" s="64" t="n">
        <v>20</v>
      </c>
      <c r="O17" s="64"/>
      <c r="P17" s="64"/>
      <c r="Q17" s="53" t="n">
        <f aca="false">M17*N17</f>
        <v>58296087376011.6</v>
      </c>
      <c r="R17" s="21" t="n">
        <f aca="false">A17*N17</f>
        <v>11.6592174752023</v>
      </c>
      <c r="S17" s="65" t="n">
        <f aca="false">(G17-F17)/4/H17</f>
        <v>38.125</v>
      </c>
      <c r="T17" s="72" t="n">
        <f aca="false">(G17-F17)/H17/E17</f>
        <v>0.087706685837527</v>
      </c>
      <c r="U17" s="22" t="n">
        <f aca="false">T17/2</f>
        <v>0.0438533429187635</v>
      </c>
      <c r="V17" s="0"/>
      <c r="W17" s="0"/>
      <c r="X17" s="0"/>
      <c r="Y17" s="0"/>
      <c r="Z17" s="40" t="s">
        <v>120</v>
      </c>
      <c r="AA17" s="19" t="s">
        <v>121</v>
      </c>
      <c r="AB17" s="41" t="n">
        <v>2003</v>
      </c>
      <c r="AC17" s="40" t="s">
        <v>110</v>
      </c>
      <c r="AG17" s="19" t="s">
        <v>111</v>
      </c>
      <c r="AI17" s="64" t="s">
        <v>123</v>
      </c>
      <c r="AJ17" s="66" t="n">
        <f aca="false">150/0.0000000000001</f>
        <v>1500000000000000</v>
      </c>
      <c r="AK17" s="66" t="n">
        <f aca="false">500/0.0000000000001</f>
        <v>5000000000000000</v>
      </c>
      <c r="AL17" s="66"/>
      <c r="AM17" s="19" t="s">
        <v>116</v>
      </c>
      <c r="AN17" s="53" t="n">
        <v>10000</v>
      </c>
      <c r="AO17" s="40"/>
      <c r="AS17" s="26" t="n">
        <v>8.2</v>
      </c>
      <c r="AU17" s="19" t="n">
        <v>0</v>
      </c>
      <c r="AV17" s="19" t="n">
        <v>0</v>
      </c>
      <c r="AW17" s="19" t="s">
        <v>117</v>
      </c>
      <c r="AX17" s="69" t="n">
        <v>0</v>
      </c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4.4" hidden="false" customHeight="false" outlineLevel="0" collapsed="false">
      <c r="A18" s="14" t="n">
        <v>6.5</v>
      </c>
      <c r="D18" s="14" t="n">
        <f aca="false">E18/I18</f>
        <v>0.692872117400419</v>
      </c>
      <c r="E18" s="15" t="n">
        <f aca="false">(G18+F18)/2/H18</f>
        <v>550.833333333333</v>
      </c>
      <c r="F18" s="44" t="n">
        <v>3110</v>
      </c>
      <c r="G18" s="45" t="n">
        <v>3500</v>
      </c>
      <c r="H18" s="39" t="n">
        <v>6</v>
      </c>
      <c r="I18" s="64" t="n">
        <v>795</v>
      </c>
      <c r="J18" s="64" t="n">
        <v>0.19</v>
      </c>
      <c r="K18" s="64"/>
      <c r="M18" s="20" t="n">
        <f aca="false">0.0001*A18*10000/(J18*0.000000000001)</f>
        <v>34210526315789.5</v>
      </c>
      <c r="N18" s="64" t="n">
        <v>25</v>
      </c>
      <c r="O18" s="64"/>
      <c r="P18" s="64"/>
      <c r="Q18" s="53" t="n">
        <f aca="false">M18*N18</f>
        <v>855263157894737</v>
      </c>
      <c r="R18" s="21" t="n">
        <f aca="false">A18*N19</f>
        <v>325</v>
      </c>
      <c r="S18" s="65" t="n">
        <f aca="false">(G18-F18)/4/H18</f>
        <v>16.25</v>
      </c>
      <c r="T18" s="22" t="n">
        <f aca="false">(G18-F18)/H18/E18</f>
        <v>0.118003025718608</v>
      </c>
      <c r="U18" s="22" t="n">
        <f aca="false">T18/2</f>
        <v>0.0590015128593041</v>
      </c>
      <c r="V18" s="0"/>
      <c r="W18" s="0"/>
      <c r="X18" s="0"/>
      <c r="Y18" s="0"/>
      <c r="Z18" s="40" t="s">
        <v>124</v>
      </c>
      <c r="AA18" s="64" t="s">
        <v>125</v>
      </c>
      <c r="AB18" s="41" t="n">
        <v>2006</v>
      </c>
      <c r="AC18" s="40" t="s">
        <v>110</v>
      </c>
      <c r="AG18" s="19" t="s">
        <v>111</v>
      </c>
      <c r="AH18" s="19" t="n">
        <v>1.12</v>
      </c>
      <c r="AI18" s="64" t="s">
        <v>123</v>
      </c>
      <c r="AJ18" s="66" t="n">
        <f aca="false">150/0.0000000000001</f>
        <v>1500000000000000</v>
      </c>
      <c r="AK18" s="66" t="n">
        <f aca="false">500/0.0000000000001</f>
        <v>5000000000000000</v>
      </c>
      <c r="AL18" s="66"/>
      <c r="AM18" s="19" t="s">
        <v>116</v>
      </c>
      <c r="AN18" s="53" t="n">
        <v>10000</v>
      </c>
      <c r="AO18" s="40" t="n">
        <v>100</v>
      </c>
      <c r="AS18" s="26" t="n">
        <v>26</v>
      </c>
      <c r="AW18" s="19" t="s">
        <v>117</v>
      </c>
      <c r="AX18" s="41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4.4" hidden="false" customHeight="false" outlineLevel="0" collapsed="false">
      <c r="A19" s="14" t="n">
        <v>6.5</v>
      </c>
      <c r="B19" s="0"/>
      <c r="C19" s="0"/>
      <c r="D19" s="14" t="n">
        <f aca="false">E19/I19</f>
        <v>0.736992567181246</v>
      </c>
      <c r="E19" s="15" t="n">
        <f aca="false">(G19+F19)/2/H19</f>
        <v>585.909090909091</v>
      </c>
      <c r="F19" s="44" t="n">
        <v>6380</v>
      </c>
      <c r="G19" s="45" t="n">
        <v>6510</v>
      </c>
      <c r="H19" s="39" t="n">
        <v>11</v>
      </c>
      <c r="I19" s="64" t="n">
        <v>795</v>
      </c>
      <c r="J19" s="64" t="n">
        <v>0.19</v>
      </c>
      <c r="K19" s="64"/>
      <c r="M19" s="0"/>
      <c r="N19" s="64" t="n">
        <v>50</v>
      </c>
      <c r="O19" s="64"/>
      <c r="P19" s="64"/>
      <c r="Q19" s="53" t="n">
        <f aca="false">M19*N19</f>
        <v>0</v>
      </c>
      <c r="R19" s="0"/>
      <c r="S19" s="65" t="n">
        <f aca="false">(G19-F19)/4/H19</f>
        <v>2.95454545454545</v>
      </c>
      <c r="T19" s="22" t="n">
        <f aca="false">(G19-F19)/H19/E19</f>
        <v>0.0201706749418154</v>
      </c>
      <c r="U19" s="22" t="n">
        <f aca="false">T19/2</f>
        <v>0.0100853374709077</v>
      </c>
      <c r="V19" s="0"/>
      <c r="W19" s="0"/>
      <c r="X19" s="0"/>
      <c r="Z19" s="40" t="s">
        <v>124</v>
      </c>
      <c r="AA19" s="64" t="s">
        <v>125</v>
      </c>
      <c r="AB19" s="41" t="n">
        <v>2006</v>
      </c>
      <c r="AC19" s="40" t="s">
        <v>110</v>
      </c>
      <c r="AD19" s="0"/>
      <c r="AE19" s="0"/>
      <c r="AF19" s="0"/>
      <c r="AG19" s="19" t="s">
        <v>111</v>
      </c>
      <c r="AH19" s="19" t="n">
        <v>1.12</v>
      </c>
      <c r="AI19" s="64" t="s">
        <v>123</v>
      </c>
      <c r="AJ19" s="66" t="n">
        <f aca="false">150/0.0000000000001</f>
        <v>1500000000000000</v>
      </c>
      <c r="AK19" s="66" t="n">
        <f aca="false">500/0.0000000000001</f>
        <v>5000000000000000</v>
      </c>
      <c r="AL19" s="66"/>
      <c r="AM19" s="19" t="s">
        <v>116</v>
      </c>
      <c r="AN19" s="53" t="n">
        <v>10000</v>
      </c>
      <c r="AO19" s="40" t="n">
        <v>100</v>
      </c>
      <c r="AP19" s="0"/>
      <c r="AQ19" s="0"/>
      <c r="AR19" s="0"/>
      <c r="AS19" s="26" t="n">
        <v>26</v>
      </c>
      <c r="AT19" s="0"/>
      <c r="AU19" s="0"/>
      <c r="AV19" s="0"/>
      <c r="AW19" s="19" t="s">
        <v>117</v>
      </c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4.4" hidden="false" customHeight="false" outlineLevel="0" collapsed="false">
      <c r="A20" s="14" t="n">
        <v>0.42</v>
      </c>
      <c r="B20" s="0"/>
      <c r="C20" s="0"/>
      <c r="D20" s="14" t="n">
        <f aca="false">E20/I20</f>
        <v>0.744375</v>
      </c>
      <c r="E20" s="15" t="n">
        <f aca="false">(G20+F20)/2/H20</f>
        <v>595.5</v>
      </c>
      <c r="F20" s="38" t="n">
        <v>540</v>
      </c>
      <c r="G20" s="17" t="n">
        <v>651</v>
      </c>
      <c r="H20" s="39" t="n">
        <v>1</v>
      </c>
      <c r="I20" s="64" t="n">
        <v>800</v>
      </c>
      <c r="J20" s="64" t="n">
        <v>0.13</v>
      </c>
      <c r="K20" s="64"/>
      <c r="M20" s="20" t="n">
        <f aca="false">0.0001*A20*10000/(J20*0.000000000001)</f>
        <v>3230769230769.23</v>
      </c>
      <c r="N20" s="64" t="n">
        <v>100</v>
      </c>
      <c r="O20" s="64"/>
      <c r="P20" s="64"/>
      <c r="Q20" s="53" t="n">
        <f aca="false">M20*N20</f>
        <v>323076923076923</v>
      </c>
      <c r="R20" s="21" t="n">
        <f aca="false">A20*N20</f>
        <v>42</v>
      </c>
      <c r="S20" s="65" t="n">
        <f aca="false">(G20-F20)/4/H20</f>
        <v>27.75</v>
      </c>
      <c r="T20" s="22" t="n">
        <f aca="false">(G20-F20)/H20/E20</f>
        <v>0.18639798488665</v>
      </c>
      <c r="U20" s="22" t="n">
        <f aca="false">T20/2</f>
        <v>0.0931989924433249</v>
      </c>
      <c r="V20" s="0"/>
      <c r="W20" s="0"/>
      <c r="X20" s="0"/>
      <c r="Z20" s="40" t="s">
        <v>113</v>
      </c>
      <c r="AA20" s="64" t="s">
        <v>114</v>
      </c>
      <c r="AB20" s="41" t="n">
        <v>2010</v>
      </c>
      <c r="AC20" s="40" t="s">
        <v>110</v>
      </c>
      <c r="AD20" s="0"/>
      <c r="AE20" s="0"/>
      <c r="AF20" s="0"/>
      <c r="AG20" s="19" t="s">
        <v>111</v>
      </c>
      <c r="AH20" s="19" t="n">
        <v>1.12</v>
      </c>
      <c r="AI20" s="64" t="s">
        <v>115</v>
      </c>
      <c r="AJ20" s="66" t="n">
        <f aca="false">150/0.0000000000001</f>
        <v>1500000000000000</v>
      </c>
      <c r="AK20" s="66" t="n">
        <f aca="false">500/0.0000000000001</f>
        <v>5000000000000000</v>
      </c>
      <c r="AL20" s="66"/>
      <c r="AM20" s="19" t="s">
        <v>116</v>
      </c>
      <c r="AN20" s="53" t="n">
        <v>10000</v>
      </c>
      <c r="AO20" s="67" t="n">
        <v>10</v>
      </c>
      <c r="AP20" s="68" t="n">
        <v>-1000000000000000</v>
      </c>
      <c r="AQ20" s="68"/>
      <c r="AR20" s="68"/>
      <c r="AS20" s="26" t="n">
        <v>25</v>
      </c>
      <c r="AT20" s="0"/>
      <c r="AU20" s="64" t="n">
        <v>0</v>
      </c>
      <c r="AV20" s="19" t="n">
        <v>0</v>
      </c>
      <c r="AW20" s="19" t="s">
        <v>117</v>
      </c>
      <c r="AX20" s="69" t="n">
        <v>0</v>
      </c>
      <c r="AY20" s="56"/>
      <c r="AZ20" s="56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4.4" hidden="false" customHeight="false" outlineLevel="0" collapsed="false">
      <c r="A21" s="14" t="n">
        <v>1.6</v>
      </c>
      <c r="B21" s="0"/>
      <c r="C21" s="0"/>
      <c r="D21" s="14" t="n">
        <f aca="false">E21/I21</f>
        <v>0.196336206896552</v>
      </c>
      <c r="E21" s="15" t="n">
        <f aca="false">(G21+F21)/2/H21</f>
        <v>157.068965517241</v>
      </c>
      <c r="F21" s="44" t="n">
        <v>4500</v>
      </c>
      <c r="G21" s="45" t="n">
        <v>4610</v>
      </c>
      <c r="H21" s="39" t="n">
        <v>29</v>
      </c>
      <c r="I21" s="64" t="n">
        <v>800</v>
      </c>
      <c r="J21" s="64" t="n">
        <v>0.13</v>
      </c>
      <c r="K21" s="64"/>
      <c r="M21" s="20" t="n">
        <f aca="false">0.0001*A21*10000/(J21*0.000000000001)</f>
        <v>12307692307692.3</v>
      </c>
      <c r="N21" s="64" t="n">
        <v>100</v>
      </c>
      <c r="O21" s="64"/>
      <c r="P21" s="64"/>
      <c r="Q21" s="53" t="n">
        <f aca="false">M21*N21</f>
        <v>1230769230769230</v>
      </c>
      <c r="R21" s="21" t="n">
        <f aca="false">A21*N21</f>
        <v>160</v>
      </c>
      <c r="S21" s="0"/>
      <c r="T21" s="22" t="n">
        <f aca="false">(G21-F21)/H21/E21</f>
        <v>0.0241492864983535</v>
      </c>
      <c r="U21" s="22" t="n">
        <f aca="false">T21/2</f>
        <v>0.0120746432491767</v>
      </c>
      <c r="V21" s="0"/>
      <c r="W21" s="0"/>
      <c r="X21" s="0"/>
      <c r="Y21" s="0"/>
      <c r="Z21" s="40" t="s">
        <v>126</v>
      </c>
      <c r="AA21" s="64" t="s">
        <v>127</v>
      </c>
      <c r="AB21" s="41" t="n">
        <v>2004</v>
      </c>
      <c r="AC21" s="40" t="s">
        <v>110</v>
      </c>
      <c r="AD21" s="0"/>
      <c r="AE21" s="0"/>
      <c r="AF21" s="0"/>
      <c r="AG21" s="19" t="s">
        <v>111</v>
      </c>
      <c r="AH21" s="19" t="n">
        <v>1.12</v>
      </c>
      <c r="AI21" s="0"/>
      <c r="AJ21" s="66" t="n">
        <f aca="false">150/0.0000000000001</f>
        <v>1500000000000000</v>
      </c>
      <c r="AK21" s="66" t="n">
        <f aca="false">500/0.0000000000001</f>
        <v>5000000000000000</v>
      </c>
      <c r="AL21" s="66"/>
      <c r="AM21" s="19" t="s">
        <v>128</v>
      </c>
      <c r="AN21" s="0"/>
      <c r="AO21" s="67"/>
      <c r="AP21" s="64"/>
      <c r="AQ21" s="64"/>
      <c r="AR21" s="64"/>
      <c r="AS21" s="0"/>
      <c r="AT21" s="0"/>
      <c r="AU21" s="64" t="n">
        <v>0</v>
      </c>
      <c r="AV21" s="64" t="n">
        <v>90</v>
      </c>
      <c r="AW21" s="19" t="s">
        <v>117</v>
      </c>
      <c r="AX21" s="41" t="n">
        <v>90</v>
      </c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4.4" hidden="false" customHeight="false" outlineLevel="0" collapsed="false">
      <c r="A22" s="14" t="n">
        <v>1.5</v>
      </c>
      <c r="B22" s="0"/>
      <c r="C22" s="0"/>
      <c r="D22" s="14" t="n">
        <f aca="false">E22/I22</f>
        <v>0.170416666666667</v>
      </c>
      <c r="E22" s="15" t="n">
        <f aca="false">(G22+F22)/2/H22</f>
        <v>136.333333333333</v>
      </c>
      <c r="F22" s="44" t="n">
        <v>4050</v>
      </c>
      <c r="G22" s="45" t="n">
        <v>4130</v>
      </c>
      <c r="H22" s="39" t="n">
        <v>30</v>
      </c>
      <c r="I22" s="64" t="n">
        <v>800</v>
      </c>
      <c r="J22" s="64" t="n">
        <v>0.13</v>
      </c>
      <c r="K22" s="64"/>
      <c r="M22" s="20" t="n">
        <f aca="false">0.0001*A22*10000/(J22*0.000000000001)</f>
        <v>11538461538461.5</v>
      </c>
      <c r="N22" s="64" t="n">
        <v>1000</v>
      </c>
      <c r="O22" s="64"/>
      <c r="P22" s="64"/>
      <c r="Q22" s="53" t="n">
        <f aca="false">M22*N22</f>
        <v>11538461538461500</v>
      </c>
      <c r="R22" s="21" t="n">
        <f aca="false">A22*N22</f>
        <v>1500</v>
      </c>
      <c r="S22" s="0"/>
      <c r="T22" s="22" t="n">
        <f aca="false">(G22-F22)/H22/E22</f>
        <v>0.019559902200489</v>
      </c>
      <c r="U22" s="22" t="n">
        <f aca="false">T22/2</f>
        <v>0.0097799511002445</v>
      </c>
      <c r="V22" s="0"/>
      <c r="W22" s="0"/>
      <c r="X22" s="0"/>
      <c r="Y22" s="0"/>
      <c r="Z22" s="40" t="s">
        <v>126</v>
      </c>
      <c r="AA22" s="64" t="s">
        <v>127</v>
      </c>
      <c r="AB22" s="41" t="n">
        <v>2004</v>
      </c>
      <c r="AC22" s="40" t="s">
        <v>110</v>
      </c>
      <c r="AD22" s="0"/>
      <c r="AE22" s="0"/>
      <c r="AF22" s="0"/>
      <c r="AG22" s="19" t="s">
        <v>111</v>
      </c>
      <c r="AH22" s="19" t="n">
        <v>1.12</v>
      </c>
      <c r="AI22" s="0"/>
      <c r="AJ22" s="43"/>
      <c r="AK22" s="43"/>
      <c r="AL22" s="43"/>
      <c r="AM22" s="19" t="s">
        <v>128</v>
      </c>
      <c r="AN22" s="0"/>
      <c r="AO22" s="67"/>
      <c r="AP22" s="64"/>
      <c r="AQ22" s="64"/>
      <c r="AR22" s="64"/>
      <c r="AS22" s="0"/>
      <c r="AT22" s="0"/>
      <c r="AU22" s="64" t="n">
        <v>0</v>
      </c>
      <c r="AV22" s="64" t="n">
        <v>90</v>
      </c>
      <c r="AW22" s="19" t="s">
        <v>117</v>
      </c>
      <c r="AX22" s="41" t="n">
        <v>90</v>
      </c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4.4" hidden="false" customHeight="false" outlineLevel="0" collapsed="false">
      <c r="A23" s="14" t="n">
        <v>0.2</v>
      </c>
      <c r="B23" s="0"/>
      <c r="C23" s="0"/>
      <c r="D23" s="14" t="n">
        <f aca="false">E23/I23</f>
        <v>0.738461538461538</v>
      </c>
      <c r="E23" s="15" t="n">
        <f aca="false">(G23+F23)/2/H23</f>
        <v>590.769230769231</v>
      </c>
      <c r="F23" s="44" t="n">
        <v>7420</v>
      </c>
      <c r="G23" s="45" t="n">
        <v>7940</v>
      </c>
      <c r="H23" s="39" t="n">
        <v>13</v>
      </c>
      <c r="I23" s="64" t="n">
        <v>800</v>
      </c>
      <c r="J23" s="64" t="n">
        <v>0.13</v>
      </c>
      <c r="K23" s="64"/>
      <c r="M23" s="20" t="n">
        <f aca="false">0.0001*A23*10000/(J23*0.000000000001)</f>
        <v>1538461538461.54</v>
      </c>
      <c r="N23" s="64" t="n">
        <v>100</v>
      </c>
      <c r="O23" s="64"/>
      <c r="P23" s="64"/>
      <c r="Q23" s="53" t="n">
        <f aca="false">M23*N23</f>
        <v>153846153846154</v>
      </c>
      <c r="R23" s="21" t="n">
        <f aca="false">A23*N23</f>
        <v>20</v>
      </c>
      <c r="S23" s="65" t="n">
        <f aca="false">(G23-F23)/4/H23</f>
        <v>10</v>
      </c>
      <c r="T23" s="22" t="n">
        <f aca="false">(G23-F23)/H23/E23</f>
        <v>0.0677083333333333</v>
      </c>
      <c r="U23" s="22" t="n">
        <f aca="false">T23/2</f>
        <v>0.0338541666666667</v>
      </c>
      <c r="Y23" s="56"/>
      <c r="Z23" s="40" t="s">
        <v>126</v>
      </c>
      <c r="AA23" s="64" t="s">
        <v>127</v>
      </c>
      <c r="AB23" s="41" t="n">
        <v>2004</v>
      </c>
      <c r="AC23" s="40" t="s">
        <v>110</v>
      </c>
      <c r="AD23" s="0"/>
      <c r="AE23" s="0"/>
      <c r="AF23" s="0"/>
      <c r="AG23" s="19" t="s">
        <v>111</v>
      </c>
      <c r="AH23" s="19" t="n">
        <v>1.12</v>
      </c>
      <c r="AI23" s="19" t="n">
        <v>111</v>
      </c>
      <c r="AJ23" s="66" t="n">
        <f aca="false">150/0.0000000000001</f>
        <v>1500000000000000</v>
      </c>
      <c r="AK23" s="66" t="n">
        <f aca="false">500/0.0000000000001</f>
        <v>5000000000000000</v>
      </c>
      <c r="AL23" s="66"/>
      <c r="AM23" s="19" t="s">
        <v>116</v>
      </c>
      <c r="AN23" s="53" t="n">
        <v>10000</v>
      </c>
      <c r="AO23" s="67"/>
      <c r="AP23" s="64"/>
      <c r="AQ23" s="64"/>
      <c r="AR23" s="64"/>
      <c r="AS23" s="26" t="n">
        <v>19</v>
      </c>
      <c r="AT23" s="0"/>
      <c r="AU23" s="64" t="n">
        <v>0</v>
      </c>
      <c r="AV23" s="64" t="n">
        <v>90</v>
      </c>
      <c r="AW23" s="19" t="s">
        <v>117</v>
      </c>
      <c r="AX23" s="41" t="n">
        <v>0</v>
      </c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4.4" hidden="false" customHeight="false" outlineLevel="0" collapsed="false">
      <c r="A24" s="14" t="n">
        <v>6.5</v>
      </c>
      <c r="B24" s="0"/>
      <c r="C24" s="0"/>
      <c r="D24" s="14" t="n">
        <f aca="false">E24/I24</f>
        <v>0.880503144654088</v>
      </c>
      <c r="E24" s="15" t="n">
        <f aca="false">(G24+F24)/2/H24</f>
        <v>700</v>
      </c>
      <c r="F24" s="44" t="n">
        <v>6130</v>
      </c>
      <c r="G24" s="45" t="n">
        <v>6470</v>
      </c>
      <c r="H24" s="39" t="n">
        <v>9</v>
      </c>
      <c r="I24" s="64" t="n">
        <v>795</v>
      </c>
      <c r="J24" s="64" t="n">
        <v>0.19</v>
      </c>
      <c r="K24" s="64"/>
      <c r="M24" s="0"/>
      <c r="N24" s="64" t="n">
        <v>100</v>
      </c>
      <c r="O24" s="64"/>
      <c r="P24" s="64"/>
      <c r="Q24" s="53" t="n">
        <f aca="false">M24*N24</f>
        <v>0</v>
      </c>
      <c r="R24" s="0"/>
      <c r="S24" s="65" t="n">
        <f aca="false">(G24-F24)/4/H24</f>
        <v>9.44444444444444</v>
      </c>
      <c r="T24" s="22" t="n">
        <f aca="false">(G24-F24)/H24/E24</f>
        <v>0.053968253968254</v>
      </c>
      <c r="U24" s="22" t="n">
        <f aca="false">T24/2</f>
        <v>0.026984126984127</v>
      </c>
      <c r="V24" s="0"/>
      <c r="W24" s="0"/>
      <c r="X24" s="0"/>
      <c r="Y24" s="0"/>
      <c r="Z24" s="40" t="s">
        <v>124</v>
      </c>
      <c r="AA24" s="64" t="s">
        <v>125</v>
      </c>
      <c r="AB24" s="41" t="n">
        <v>2006</v>
      </c>
      <c r="AC24" s="40" t="s">
        <v>110</v>
      </c>
      <c r="AD24" s="0"/>
      <c r="AE24" s="0"/>
      <c r="AF24" s="0"/>
      <c r="AG24" s="19" t="s">
        <v>111</v>
      </c>
      <c r="AH24" s="19" t="n">
        <v>1.12</v>
      </c>
      <c r="AI24" s="64" t="s">
        <v>123</v>
      </c>
      <c r="AJ24" s="66" t="n">
        <f aca="false">150/0.0000000000001</f>
        <v>1500000000000000</v>
      </c>
      <c r="AK24" s="66" t="n">
        <f aca="false">500/0.0000000000001</f>
        <v>5000000000000000</v>
      </c>
      <c r="AL24" s="66"/>
      <c r="AM24" s="19" t="s">
        <v>116</v>
      </c>
      <c r="AN24" s="53" t="n">
        <v>10000</v>
      </c>
      <c r="AO24" s="40" t="n">
        <v>100</v>
      </c>
      <c r="AP24" s="0"/>
      <c r="AQ24" s="0"/>
      <c r="AR24" s="0"/>
      <c r="AS24" s="26" t="n">
        <v>26</v>
      </c>
      <c r="AT24" s="0"/>
      <c r="AU24" s="0"/>
      <c r="AV24" s="0"/>
      <c r="AW24" s="19" t="s">
        <v>117</v>
      </c>
      <c r="AX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4.4" hidden="false" customHeight="false" outlineLevel="0" collapsed="false">
      <c r="A25" s="14" t="n">
        <v>0.2</v>
      </c>
      <c r="B25" s="0"/>
      <c r="C25" s="0"/>
      <c r="D25" s="14" t="n">
        <f aca="false">E25/I25</f>
        <v>0.638034188034188</v>
      </c>
      <c r="E25" s="15" t="n">
        <f aca="false">(G25+F25)/2/H25</f>
        <v>829.444444444444</v>
      </c>
      <c r="F25" s="44" t="n">
        <v>14750</v>
      </c>
      <c r="G25" s="45" t="n">
        <v>15110</v>
      </c>
      <c r="H25" s="39" t="n">
        <v>18</v>
      </c>
      <c r="I25" s="64" t="n">
        <v>1300</v>
      </c>
      <c r="J25" s="64" t="n">
        <v>0.09</v>
      </c>
      <c r="K25" s="70" t="n">
        <v>3.2E-006</v>
      </c>
      <c r="M25" s="20" t="n">
        <f aca="false">0.0001*A25*10000/(J25*0.000000000001)</f>
        <v>2222222222222.22</v>
      </c>
      <c r="N25" s="64" t="n">
        <v>200</v>
      </c>
      <c r="O25" s="64"/>
      <c r="P25" s="64"/>
      <c r="Q25" s="53" t="n">
        <f aca="false">M25*N25</f>
        <v>444444444444444</v>
      </c>
      <c r="R25" s="21" t="n">
        <f aca="false">A25*N25</f>
        <v>40</v>
      </c>
      <c r="S25" s="65" t="n">
        <f aca="false">(G25-F25)/4/H25</f>
        <v>5</v>
      </c>
      <c r="T25" s="22" t="n">
        <f aca="false">(G25-F25)/H25/E25</f>
        <v>0.0241125251172137</v>
      </c>
      <c r="U25" s="22" t="n">
        <f aca="false">T25/2</f>
        <v>0.0120562625586068</v>
      </c>
      <c r="V25" s="0"/>
      <c r="W25" s="0"/>
      <c r="X25" s="0"/>
      <c r="Y25" s="0"/>
      <c r="Z25" s="40" t="s">
        <v>129</v>
      </c>
      <c r="AA25" s="64" t="s">
        <v>130</v>
      </c>
      <c r="AB25" s="41" t="n">
        <v>2007</v>
      </c>
      <c r="AC25" s="40" t="s">
        <v>110</v>
      </c>
      <c r="AD25" s="0"/>
      <c r="AE25" s="0"/>
      <c r="AF25" s="0"/>
      <c r="AG25" s="19" t="s">
        <v>111</v>
      </c>
      <c r="AH25" s="19" t="n">
        <v>1.12</v>
      </c>
      <c r="AI25" s="0"/>
      <c r="AJ25" s="66" t="n">
        <f aca="false">150/0.0000000000001</f>
        <v>1500000000000000</v>
      </c>
      <c r="AK25" s="66" t="n">
        <f aca="false">500/0.0000000000001</f>
        <v>5000000000000000</v>
      </c>
      <c r="AL25" s="66"/>
      <c r="AM25" s="64" t="s">
        <v>131</v>
      </c>
      <c r="AN25" s="53" t="n">
        <f aca="false">0.1*0.001*10000</f>
        <v>1</v>
      </c>
      <c r="AO25" s="40" t="n">
        <v>1000</v>
      </c>
      <c r="AP25" s="0"/>
      <c r="AQ25" s="0"/>
      <c r="AR25" s="0"/>
      <c r="AS25" s="26" t="n">
        <v>25</v>
      </c>
      <c r="AT25" s="0"/>
      <c r="AU25" s="0"/>
      <c r="AV25" s="0"/>
      <c r="AW25" s="19" t="s">
        <v>117</v>
      </c>
      <c r="AX25" s="41" t="n">
        <v>90</v>
      </c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true" outlineLevel="0" collapsed="false">
      <c r="A26" s="14" t="n">
        <v>8.2</v>
      </c>
      <c r="B26" s="0"/>
      <c r="C26" s="0"/>
      <c r="D26" s="14" t="n">
        <f aca="false">E26/I26</f>
        <v>3.11491935483871</v>
      </c>
      <c r="E26" s="15" t="n">
        <f aca="false">(G26+F26)/2/H26</f>
        <v>772.5</v>
      </c>
      <c r="F26" s="38" t="n">
        <v>765</v>
      </c>
      <c r="G26" s="17" t="n">
        <v>780</v>
      </c>
      <c r="H26" s="39" t="n">
        <v>1</v>
      </c>
      <c r="I26" s="19" t="n">
        <v>248</v>
      </c>
      <c r="J26" s="19" t="n">
        <v>0.5</v>
      </c>
      <c r="K26" s="0"/>
      <c r="M26" s="20" t="n">
        <f aca="false">0.0001*A26*10000/(J26*0.000000000001)</f>
        <v>16400000000000</v>
      </c>
      <c r="N26" s="19" t="n">
        <v>70</v>
      </c>
      <c r="O26" s="0"/>
      <c r="P26" s="0"/>
      <c r="Q26" s="19" t="n">
        <f aca="false">M26*N26</f>
        <v>1148000000000000</v>
      </c>
      <c r="R26" s="21" t="n">
        <f aca="false">A26*N26</f>
        <v>574</v>
      </c>
      <c r="S26" s="0"/>
      <c r="T26" s="22" t="n">
        <f aca="false">(G26-F26)/H26/E26</f>
        <v>0.0194174757281553</v>
      </c>
      <c r="U26" s="22" t="n">
        <f aca="false">T26/2</f>
        <v>0.00970873786407767</v>
      </c>
      <c r="Y26" s="0"/>
      <c r="Z26" s="40" t="s">
        <v>132</v>
      </c>
      <c r="AA26" s="19" t="s">
        <v>133</v>
      </c>
      <c r="AB26" s="41" t="n">
        <v>1992</v>
      </c>
      <c r="AC26" s="40" t="s">
        <v>134</v>
      </c>
      <c r="AD26" s="0"/>
      <c r="AE26" s="0"/>
      <c r="AF26" s="0"/>
      <c r="AG26" s="19" t="s">
        <v>135</v>
      </c>
      <c r="AH26" s="0"/>
      <c r="AI26" s="19" t="s">
        <v>52</v>
      </c>
      <c r="AJ26" s="0"/>
      <c r="AK26" s="0"/>
      <c r="AL26" s="0"/>
      <c r="AM26" s="0"/>
      <c r="AN26" s="7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4.4" hidden="false" customHeight="false" outlineLevel="0" collapsed="false">
      <c r="A27" s="14" t="n">
        <v>1</v>
      </c>
      <c r="B27" s="0"/>
      <c r="C27" s="0"/>
      <c r="D27" s="14" t="n">
        <f aca="false">E27/I27</f>
        <v>0.2461</v>
      </c>
      <c r="E27" s="15" t="n">
        <f aca="false">(G27+F27)/2/H27</f>
        <v>307.625</v>
      </c>
      <c r="F27" s="38" t="n">
        <v>4789</v>
      </c>
      <c r="G27" s="17" t="n">
        <v>5055</v>
      </c>
      <c r="H27" s="39" t="n">
        <v>16</v>
      </c>
      <c r="I27" s="19" t="n">
        <v>1250</v>
      </c>
      <c r="J27" s="19" t="n">
        <v>0.08</v>
      </c>
      <c r="K27" s="0"/>
      <c r="M27" s="20" t="n">
        <f aca="false">0.0001*A27*10000/(J27*0.000000000001)</f>
        <v>12500000000000</v>
      </c>
      <c r="N27" s="19" t="n">
        <v>300</v>
      </c>
      <c r="O27" s="0"/>
      <c r="P27" s="0"/>
      <c r="Q27" s="19" t="n">
        <f aca="false">M27*N27</f>
        <v>3750000000000000</v>
      </c>
      <c r="R27" s="21" t="n">
        <f aca="false">A27*N27</f>
        <v>300</v>
      </c>
      <c r="S27" s="65" t="n">
        <f aca="false">(G27-F27)/4/H27</f>
        <v>4.15625</v>
      </c>
      <c r="T27" s="22" t="n">
        <f aca="false">(G27-F27)/H27/E27</f>
        <v>0.0540430719219829</v>
      </c>
      <c r="U27" s="22" t="n">
        <f aca="false">T27/2</f>
        <v>0.0270215359609915</v>
      </c>
      <c r="V27" s="0"/>
      <c r="W27" s="0"/>
      <c r="X27" s="0"/>
      <c r="Y27" s="0"/>
      <c r="Z27" s="40" t="s">
        <v>136</v>
      </c>
      <c r="AA27" s="19" t="s">
        <v>137</v>
      </c>
      <c r="AB27" s="41" t="n">
        <v>2008</v>
      </c>
      <c r="AC27" s="40" t="s">
        <v>110</v>
      </c>
      <c r="AD27" s="0"/>
      <c r="AE27" s="0"/>
      <c r="AF27" s="0"/>
      <c r="AG27" s="19" t="s">
        <v>111</v>
      </c>
      <c r="AH27" s="19" t="n">
        <v>1.12</v>
      </c>
      <c r="AI27" s="19" t="n">
        <v>100</v>
      </c>
      <c r="AJ27" s="0"/>
      <c r="AK27" s="0"/>
      <c r="AL27" s="0"/>
      <c r="AM27" s="19" t="s">
        <v>116</v>
      </c>
      <c r="AN27" s="70" t="n">
        <v>10000</v>
      </c>
      <c r="AO27" s="40" t="n">
        <v>10</v>
      </c>
      <c r="AP27" s="0"/>
      <c r="AQ27" s="0"/>
      <c r="AR27" s="0"/>
      <c r="AS27" s="0"/>
      <c r="AT27" s="0"/>
      <c r="AU27" s="19" t="n">
        <v>0</v>
      </c>
      <c r="AV27" s="19" t="n">
        <v>0</v>
      </c>
      <c r="AW27" s="19" t="s">
        <v>117</v>
      </c>
      <c r="AX27" s="41" t="n">
        <v>0</v>
      </c>
      <c r="AY27" s="23" t="s">
        <v>107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4.4" hidden="false" customHeight="false" outlineLevel="0" collapsed="false">
      <c r="A28" s="14" t="n">
        <v>0.42</v>
      </c>
      <c r="B28" s="0"/>
      <c r="C28" s="0"/>
      <c r="D28" s="14" t="n">
        <f aca="false">E28/I28</f>
        <v>0.71945</v>
      </c>
      <c r="E28" s="15" t="n">
        <f aca="false">(G28+F28)/2/H28</f>
        <v>575.56</v>
      </c>
      <c r="F28" s="38" t="n">
        <v>520.8</v>
      </c>
      <c r="G28" s="17" t="n">
        <v>630.32</v>
      </c>
      <c r="H28" s="39" t="n">
        <v>1</v>
      </c>
      <c r="I28" s="64" t="n">
        <v>800</v>
      </c>
      <c r="J28" s="64" t="n">
        <v>0.13</v>
      </c>
      <c r="K28" s="64"/>
      <c r="M28" s="20" t="n">
        <f aca="false">0.0001*A28*10000/(J28*0.000000000001)</f>
        <v>3230769230769.23</v>
      </c>
      <c r="N28" s="64" t="n">
        <v>500</v>
      </c>
      <c r="O28" s="64"/>
      <c r="P28" s="64"/>
      <c r="Q28" s="53" t="n">
        <f aca="false">M28*N28</f>
        <v>1615384615384620</v>
      </c>
      <c r="R28" s="21" t="n">
        <f aca="false">A28*N28</f>
        <v>210</v>
      </c>
      <c r="S28" s="65" t="n">
        <f aca="false">(G28-F28)/4/H28</f>
        <v>27.38</v>
      </c>
      <c r="T28" s="22" t="n">
        <f aca="false">(G28-F28)/H28/E28</f>
        <v>0.190284244909306</v>
      </c>
      <c r="U28" s="22" t="n">
        <f aca="false">T28/2</f>
        <v>0.095142122454653</v>
      </c>
      <c r="V28" s="0"/>
      <c r="W28" s="0"/>
      <c r="X28" s="0"/>
      <c r="Y28" s="0"/>
      <c r="Z28" s="40" t="s">
        <v>113</v>
      </c>
      <c r="AA28" s="64" t="s">
        <v>114</v>
      </c>
      <c r="AB28" s="41" t="n">
        <v>2010</v>
      </c>
      <c r="AC28" s="40" t="s">
        <v>110</v>
      </c>
      <c r="AD28" s="0"/>
      <c r="AE28" s="0"/>
      <c r="AF28" s="0"/>
      <c r="AG28" s="19" t="s">
        <v>111</v>
      </c>
      <c r="AH28" s="19" t="n">
        <v>1.12</v>
      </c>
      <c r="AI28" s="64" t="s">
        <v>115</v>
      </c>
      <c r="AJ28" s="66" t="n">
        <f aca="false">150/0.0000000000001</f>
        <v>1500000000000000</v>
      </c>
      <c r="AK28" s="66" t="n">
        <f aca="false">500/0.0000000000001</f>
        <v>5000000000000000</v>
      </c>
      <c r="AL28" s="66"/>
      <c r="AM28" s="19" t="s">
        <v>116</v>
      </c>
      <c r="AN28" s="53" t="n">
        <v>10000</v>
      </c>
      <c r="AO28" s="67" t="n">
        <v>10</v>
      </c>
      <c r="AP28" s="68" t="n">
        <v>-1000000000000000</v>
      </c>
      <c r="AQ28" s="68"/>
      <c r="AR28" s="68"/>
      <c r="AS28" s="26" t="n">
        <v>25</v>
      </c>
      <c r="AT28" s="0"/>
      <c r="AU28" s="64" t="n">
        <v>0</v>
      </c>
      <c r="AV28" s="19" t="n">
        <v>0</v>
      </c>
      <c r="AW28" s="19" t="s">
        <v>117</v>
      </c>
      <c r="AX28" s="69" t="n">
        <v>0</v>
      </c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4.4" hidden="false" customHeight="false" outlineLevel="0" collapsed="false">
      <c r="A29" s="0"/>
      <c r="B29" s="0"/>
      <c r="C29" s="0"/>
      <c r="D29" s="14" t="n">
        <f aca="false">E29/I29</f>
        <v>0.719373219373219</v>
      </c>
      <c r="E29" s="15" t="n">
        <f aca="false">(G29+F29)/2/H29</f>
        <v>561.111111111111</v>
      </c>
      <c r="F29" s="44" t="n">
        <v>9940</v>
      </c>
      <c r="G29" s="45" t="n">
        <v>10260</v>
      </c>
      <c r="H29" s="39" t="n">
        <v>18</v>
      </c>
      <c r="I29" s="64" t="n">
        <v>780</v>
      </c>
      <c r="J29" s="64" t="n">
        <v>0.1</v>
      </c>
      <c r="K29" s="14" t="n">
        <v>1E-006</v>
      </c>
      <c r="M29" s="20" t="n">
        <f aca="false">0.0001*K29*10000/(J29*0.000000000001)</f>
        <v>10000000</v>
      </c>
      <c r="N29" s="64" t="n">
        <v>500</v>
      </c>
      <c r="O29" s="64"/>
      <c r="P29" s="64"/>
      <c r="Q29" s="53" t="n">
        <f aca="false">M29*N29</f>
        <v>5000000000</v>
      </c>
      <c r="R29" s="21" t="n">
        <f aca="false">K29*N29</f>
        <v>0.0005</v>
      </c>
      <c r="S29" s="65" t="n">
        <f aca="false">(G29-F29)/4/H29</f>
        <v>4.44444444444444</v>
      </c>
      <c r="T29" s="22" t="n">
        <f aca="false">(G29-F29)/H29/E29</f>
        <v>0.0316831683168317</v>
      </c>
      <c r="U29" s="22" t="n">
        <f aca="false">T29/2</f>
        <v>0.0158415841584158</v>
      </c>
      <c r="V29" s="0"/>
      <c r="W29" s="0"/>
      <c r="X29" s="0"/>
      <c r="Y29" s="0"/>
      <c r="Z29" s="40" t="s">
        <v>138</v>
      </c>
      <c r="AA29" s="64" t="s">
        <v>139</v>
      </c>
      <c r="AB29" s="41" t="n">
        <v>2005</v>
      </c>
      <c r="AC29" s="40" t="s">
        <v>110</v>
      </c>
      <c r="AD29" s="0"/>
      <c r="AE29" s="0"/>
      <c r="AF29" s="0"/>
      <c r="AG29" s="19" t="s">
        <v>111</v>
      </c>
      <c r="AH29" s="19" t="n">
        <v>1.12</v>
      </c>
      <c r="AI29" s="0"/>
      <c r="AJ29" s="66" t="n">
        <f aca="false">150/0.0000000000001</f>
        <v>1500000000000000</v>
      </c>
      <c r="AK29" s="66" t="n">
        <f aca="false">500/0.0000000000001</f>
        <v>5000000000000000</v>
      </c>
      <c r="AL29" s="66"/>
      <c r="AM29" s="71" t="s">
        <v>116</v>
      </c>
      <c r="AN29" s="68" t="n">
        <v>10000</v>
      </c>
      <c r="AO29" s="67"/>
      <c r="AP29" s="64"/>
      <c r="AQ29" s="64"/>
      <c r="AR29" s="64"/>
      <c r="AS29" s="26" t="n">
        <v>45</v>
      </c>
      <c r="AT29" s="0"/>
      <c r="AU29" s="64" t="n">
        <v>0</v>
      </c>
      <c r="AV29" s="19" t="n">
        <v>0</v>
      </c>
      <c r="AW29" s="19" t="s">
        <v>117</v>
      </c>
      <c r="AX29" s="69" t="n">
        <v>0</v>
      </c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4.4" hidden="false" customHeight="false" outlineLevel="0" collapsed="false">
      <c r="A30" s="14" t="n">
        <v>0.42</v>
      </c>
      <c r="B30" s="0"/>
      <c r="C30" s="0"/>
      <c r="D30" s="14" t="n">
        <f aca="false">E30/I30</f>
        <v>0.70075</v>
      </c>
      <c r="E30" s="15" t="n">
        <f aca="false">(G30+F30)/2/H30</f>
        <v>560.6</v>
      </c>
      <c r="F30" s="38" t="n">
        <v>511.7</v>
      </c>
      <c r="G30" s="17" t="n">
        <v>609.5</v>
      </c>
      <c r="H30" s="39" t="n">
        <v>1</v>
      </c>
      <c r="I30" s="64" t="n">
        <v>800</v>
      </c>
      <c r="J30" s="64" t="n">
        <v>0.13</v>
      </c>
      <c r="K30" s="64"/>
      <c r="M30" s="20" t="n">
        <f aca="false">0.0001*A30*10000/(J30*0.000000000001)</f>
        <v>3230769230769.23</v>
      </c>
      <c r="N30" s="64" t="n">
        <v>1000</v>
      </c>
      <c r="O30" s="64"/>
      <c r="P30" s="64"/>
      <c r="Q30" s="53" t="n">
        <f aca="false">M30*N30</f>
        <v>3230769230769230</v>
      </c>
      <c r="R30" s="21" t="n">
        <f aca="false">A30*N30</f>
        <v>420</v>
      </c>
      <c r="S30" s="65" t="n">
        <f aca="false">(G30-F30)/4/H30</f>
        <v>24.45</v>
      </c>
      <c r="T30" s="22" t="n">
        <f aca="false">(G30-F30)/H30/E30</f>
        <v>0.174455940064217</v>
      </c>
      <c r="U30" s="22" t="n">
        <f aca="false">T30/2</f>
        <v>0.0872279700321085</v>
      </c>
      <c r="V30" s="0"/>
      <c r="W30" s="0"/>
      <c r="X30" s="0"/>
      <c r="Y30" s="0"/>
      <c r="Z30" s="40" t="s">
        <v>113</v>
      </c>
      <c r="AA30" s="64" t="s">
        <v>114</v>
      </c>
      <c r="AB30" s="41" t="n">
        <v>2010</v>
      </c>
      <c r="AC30" s="40" t="s">
        <v>110</v>
      </c>
      <c r="AD30" s="0"/>
      <c r="AE30" s="0"/>
      <c r="AF30" s="0"/>
      <c r="AG30" s="19" t="s">
        <v>111</v>
      </c>
      <c r="AH30" s="19" t="n">
        <v>1.12</v>
      </c>
      <c r="AI30" s="64" t="s">
        <v>115</v>
      </c>
      <c r="AJ30" s="66" t="n">
        <f aca="false">150/0.0000000000001</f>
        <v>1500000000000000</v>
      </c>
      <c r="AK30" s="66" t="n">
        <f aca="false">500/0.0000000000001</f>
        <v>5000000000000000</v>
      </c>
      <c r="AL30" s="66"/>
      <c r="AM30" s="19" t="s">
        <v>116</v>
      </c>
      <c r="AN30" s="53" t="n">
        <v>10000</v>
      </c>
      <c r="AO30" s="67" t="n">
        <v>10</v>
      </c>
      <c r="AP30" s="68" t="n">
        <v>-1000000000000000</v>
      </c>
      <c r="AQ30" s="68"/>
      <c r="AR30" s="68"/>
      <c r="AS30" s="26" t="n">
        <v>25</v>
      </c>
      <c r="AT30" s="0"/>
      <c r="AU30" s="64" t="n">
        <v>0</v>
      </c>
      <c r="AV30" s="19" t="n">
        <v>0</v>
      </c>
      <c r="AW30" s="19" t="s">
        <v>117</v>
      </c>
      <c r="AX30" s="69" t="n">
        <v>0</v>
      </c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4.4" hidden="false" customHeight="false" outlineLevel="0" collapsed="false">
      <c r="A31" s="14" t="n">
        <v>0.45</v>
      </c>
      <c r="B31" s="0"/>
      <c r="C31" s="0"/>
      <c r="D31" s="14" t="n">
        <f aca="false">E31/I31</f>
        <v>0.766875</v>
      </c>
      <c r="E31" s="15" t="n">
        <f aca="false">(G31+F31)/2/H31</f>
        <v>613.5</v>
      </c>
      <c r="F31" s="44" t="n">
        <v>6000</v>
      </c>
      <c r="G31" s="45" t="n">
        <v>6270</v>
      </c>
      <c r="H31" s="39" t="n">
        <v>10</v>
      </c>
      <c r="I31" s="64" t="n">
        <v>800</v>
      </c>
      <c r="J31" s="64" t="n">
        <v>0.13</v>
      </c>
      <c r="K31" s="64"/>
      <c r="M31" s="20" t="n">
        <f aca="false">0.0001*A31*10000/(J31*0.000000000001)</f>
        <v>3461538461538.46</v>
      </c>
      <c r="N31" s="64" t="n">
        <v>1000</v>
      </c>
      <c r="O31" s="64"/>
      <c r="P31" s="64"/>
      <c r="Q31" s="53" t="n">
        <f aca="false">M31*N31</f>
        <v>3461538461538460</v>
      </c>
      <c r="R31" s="21" t="n">
        <f aca="false">A31*N31</f>
        <v>450</v>
      </c>
      <c r="S31" s="65" t="n">
        <f aca="false">(G31-F31)/4/H31</f>
        <v>6.75</v>
      </c>
      <c r="T31" s="22" t="n">
        <f aca="false">(G31-F31)/H31/E31</f>
        <v>0.0440097799511003</v>
      </c>
      <c r="U31" s="22" t="n">
        <f aca="false">T31/2</f>
        <v>0.0220048899755501</v>
      </c>
      <c r="V31" s="0"/>
      <c r="W31" s="0"/>
      <c r="X31" s="0"/>
      <c r="Y31" s="0"/>
      <c r="Z31" s="40" t="s">
        <v>126</v>
      </c>
      <c r="AA31" s="64" t="s">
        <v>127</v>
      </c>
      <c r="AB31" s="41" t="n">
        <v>2004</v>
      </c>
      <c r="AC31" s="40" t="s">
        <v>110</v>
      </c>
      <c r="AD31" s="0"/>
      <c r="AE31" s="0"/>
      <c r="AF31" s="0"/>
      <c r="AG31" s="19" t="s">
        <v>111</v>
      </c>
      <c r="AH31" s="19" t="n">
        <v>1.12</v>
      </c>
      <c r="AI31" s="19" t="n">
        <v>111</v>
      </c>
      <c r="AJ31" s="66" t="n">
        <f aca="false">150/0.0000000000001</f>
        <v>1500000000000000</v>
      </c>
      <c r="AK31" s="66" t="n">
        <f aca="false">500/0.0000000000001</f>
        <v>5000000000000000</v>
      </c>
      <c r="AL31" s="66"/>
      <c r="AM31" s="19" t="s">
        <v>116</v>
      </c>
      <c r="AN31" s="53" t="n">
        <v>10000</v>
      </c>
      <c r="AO31" s="67"/>
      <c r="AP31" s="64"/>
      <c r="AQ31" s="64"/>
      <c r="AR31" s="64"/>
      <c r="AS31" s="0"/>
      <c r="AT31" s="0"/>
      <c r="AU31" s="64" t="n">
        <v>0</v>
      </c>
      <c r="AV31" s="64" t="n">
        <v>90</v>
      </c>
      <c r="AW31" s="19" t="s">
        <v>117</v>
      </c>
      <c r="AX31" s="41" t="n">
        <v>0</v>
      </c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4.4" hidden="false" customHeight="false" outlineLevel="0" collapsed="false">
      <c r="A32" s="14" t="n">
        <f aca="false">M32*0.000000000001*J32</f>
        <v>0.4</v>
      </c>
      <c r="D32" s="14" t="n">
        <f aca="false">E32/I32</f>
        <v>0.25625</v>
      </c>
      <c r="E32" s="15" t="n">
        <f aca="false">(G32+F32)/2/H32</f>
        <v>205</v>
      </c>
      <c r="F32" s="44" t="n">
        <v>190</v>
      </c>
      <c r="G32" s="45" t="n">
        <v>220</v>
      </c>
      <c r="H32" s="39" t="n">
        <v>1</v>
      </c>
      <c r="I32" s="64" t="n">
        <v>800</v>
      </c>
      <c r="J32" s="64" t="n">
        <v>0.1</v>
      </c>
      <c r="K32" s="64"/>
      <c r="L32" s="23"/>
      <c r="M32" s="20" t="n">
        <v>4000000000000</v>
      </c>
      <c r="N32" s="64" t="n">
        <v>1000</v>
      </c>
      <c r="O32" s="64"/>
      <c r="P32" s="64"/>
      <c r="Q32" s="53" t="n">
        <f aca="false">M32*N32</f>
        <v>4000000000000000</v>
      </c>
      <c r="S32" s="65" t="n">
        <f aca="false">(G32-F32)/4/H32</f>
        <v>7.5</v>
      </c>
      <c r="T32" s="22" t="n">
        <f aca="false">(G32-F32)/H32/E32</f>
        <v>0.146341463414634</v>
      </c>
      <c r="U32" s="22" t="n">
        <f aca="false">T32/2</f>
        <v>0.0731707317073171</v>
      </c>
      <c r="Z32" s="40" t="s">
        <v>140</v>
      </c>
      <c r="AA32" s="64" t="s">
        <v>141</v>
      </c>
      <c r="AB32" s="41" t="n">
        <v>2006</v>
      </c>
      <c r="AC32" s="40" t="s">
        <v>110</v>
      </c>
      <c r="AG32" s="19" t="s">
        <v>111</v>
      </c>
      <c r="AH32" s="19" t="n">
        <v>1.12</v>
      </c>
      <c r="AI32" s="64" t="s">
        <v>142</v>
      </c>
      <c r="AJ32" s="66" t="n">
        <f aca="false">150/0.0000000000001</f>
        <v>1500000000000000</v>
      </c>
      <c r="AK32" s="66" t="n">
        <f aca="false">500/0.0000000000001</f>
        <v>5000000000000000</v>
      </c>
      <c r="AL32" s="66"/>
      <c r="AM32" s="64" t="s">
        <v>131</v>
      </c>
      <c r="AN32" s="64"/>
      <c r="AO32" s="67"/>
      <c r="AP32" s="70" t="n">
        <v>1E+021</v>
      </c>
      <c r="AQ32" s="70"/>
      <c r="AR32" s="70"/>
      <c r="AS32" s="26" t="n">
        <v>100</v>
      </c>
      <c r="AW32" s="19" t="s">
        <v>117</v>
      </c>
      <c r="AX32" s="41"/>
    </row>
    <row r="33" customFormat="false" ht="14.4" hidden="false" customHeight="false" outlineLevel="0" collapsed="false">
      <c r="A33" s="14" t="n">
        <v>0.000453</v>
      </c>
      <c r="B33" s="0"/>
      <c r="C33" s="0"/>
      <c r="D33" s="14" t="n">
        <f aca="false">E33/I33</f>
        <v>0.87741935483871</v>
      </c>
      <c r="E33" s="15" t="n">
        <f aca="false">(G33+F33)/2/H33</f>
        <v>680</v>
      </c>
      <c r="F33" s="38" t="n">
        <v>660</v>
      </c>
      <c r="G33" s="17" t="n">
        <v>700</v>
      </c>
      <c r="H33" s="39" t="n">
        <v>1</v>
      </c>
      <c r="I33" s="64" t="n">
        <v>775</v>
      </c>
      <c r="J33" s="64" t="n">
        <v>0.15</v>
      </c>
      <c r="K33" s="53" t="n">
        <v>8E-008</v>
      </c>
      <c r="M33" s="20" t="n">
        <f aca="false">0.0001*A33*10000/(J33*0.000000000001)</f>
        <v>3020000000</v>
      </c>
      <c r="N33" s="64" t="n">
        <v>1000</v>
      </c>
      <c r="O33" s="64"/>
      <c r="P33" s="64"/>
      <c r="Q33" s="53" t="n">
        <f aca="false">M33*N33</f>
        <v>3020000000000</v>
      </c>
      <c r="R33" s="21" t="n">
        <f aca="false">A33*N33</f>
        <v>0.453</v>
      </c>
      <c r="S33" s="65" t="n">
        <f aca="false">(G33-F33)/4/H33</f>
        <v>10</v>
      </c>
      <c r="T33" s="22" t="n">
        <f aca="false">(G33-F33)/H33/E33</f>
        <v>0.0588235294117647</v>
      </c>
      <c r="U33" s="22" t="n">
        <f aca="false">T33/2</f>
        <v>0.0294117647058823</v>
      </c>
      <c r="V33" s="0"/>
      <c r="W33" s="0"/>
      <c r="X33" s="0"/>
      <c r="Z33" s="40" t="s">
        <v>143</v>
      </c>
      <c r="AA33" s="64" t="s">
        <v>144</v>
      </c>
      <c r="AB33" s="41" t="n">
        <v>2006</v>
      </c>
      <c r="AC33" s="40" t="s">
        <v>110</v>
      </c>
      <c r="AD33" s="0"/>
      <c r="AE33" s="0"/>
      <c r="AF33" s="0"/>
      <c r="AG33" s="19" t="s">
        <v>111</v>
      </c>
      <c r="AH33" s="19" t="n">
        <v>1.12</v>
      </c>
      <c r="AI33" s="64" t="s">
        <v>115</v>
      </c>
      <c r="AJ33" s="66" t="n">
        <f aca="false">150/0.0000000000001</f>
        <v>1500000000000000</v>
      </c>
      <c r="AK33" s="66" t="n">
        <f aca="false">500/0.0000000000001</f>
        <v>5000000000000000</v>
      </c>
      <c r="AL33" s="66"/>
      <c r="AM33" s="71" t="s">
        <v>116</v>
      </c>
      <c r="AN33" s="73" t="n">
        <v>10000</v>
      </c>
      <c r="AO33" s="67"/>
      <c r="AP33" s="64"/>
      <c r="AQ33" s="64"/>
      <c r="AR33" s="64"/>
      <c r="AS33" s="26" t="n">
        <v>150</v>
      </c>
      <c r="AT33" s="0"/>
      <c r="AU33" s="64" t="n">
        <v>0</v>
      </c>
      <c r="AV33" s="19" t="n">
        <v>0</v>
      </c>
      <c r="AW33" s="19" t="s">
        <v>117</v>
      </c>
      <c r="AX33" s="69" t="n">
        <v>0</v>
      </c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4.4" hidden="false" customHeight="false" outlineLevel="0" collapsed="false">
      <c r="A34" s="14" t="n">
        <v>0.000453</v>
      </c>
      <c r="B34" s="0"/>
      <c r="C34" s="0"/>
      <c r="D34" s="14" t="n">
        <f aca="false">E34/I34</f>
        <v>0.883870967741935</v>
      </c>
      <c r="E34" s="15" t="n">
        <f aca="false">(G34+F34)/2/H34</f>
        <v>685</v>
      </c>
      <c r="F34" s="44" t="n">
        <v>650</v>
      </c>
      <c r="G34" s="45" t="n">
        <v>720</v>
      </c>
      <c r="H34" s="39" t="n">
        <v>1</v>
      </c>
      <c r="I34" s="64" t="n">
        <v>775</v>
      </c>
      <c r="J34" s="64" t="n">
        <v>0.15</v>
      </c>
      <c r="K34" s="53" t="n">
        <v>1E-007</v>
      </c>
      <c r="M34" s="20" t="n">
        <f aca="false">0.0001*A34*10000/(J34*0.000000000001)</f>
        <v>3020000000</v>
      </c>
      <c r="N34" s="64" t="n">
        <v>1000</v>
      </c>
      <c r="O34" s="64"/>
      <c r="P34" s="64"/>
      <c r="Q34" s="53" t="n">
        <f aca="false">M34*N34</f>
        <v>3020000000000</v>
      </c>
      <c r="R34" s="21" t="n">
        <f aca="false">A34*N34</f>
        <v>0.453</v>
      </c>
      <c r="S34" s="65" t="n">
        <f aca="false">(G34-F34)/4/H34</f>
        <v>17.5</v>
      </c>
      <c r="T34" s="22" t="n">
        <f aca="false">(G34-F34)/H34/E34</f>
        <v>0.102189781021898</v>
      </c>
      <c r="U34" s="22" t="n">
        <f aca="false">T34/2</f>
        <v>0.0510948905109489</v>
      </c>
      <c r="V34" s="0"/>
      <c r="W34" s="0"/>
      <c r="X34" s="0"/>
      <c r="Y34" s="0"/>
      <c r="Z34" s="40" t="s">
        <v>143</v>
      </c>
      <c r="AA34" s="64" t="s">
        <v>144</v>
      </c>
      <c r="AB34" s="41" t="n">
        <v>2006</v>
      </c>
      <c r="AC34" s="40" t="s">
        <v>110</v>
      </c>
      <c r="AD34" s="0"/>
      <c r="AE34" s="0"/>
      <c r="AF34" s="0"/>
      <c r="AG34" s="19" t="s">
        <v>111</v>
      </c>
      <c r="AH34" s="19" t="n">
        <v>1.12</v>
      </c>
      <c r="AI34" s="64" t="s">
        <v>115</v>
      </c>
      <c r="AJ34" s="66" t="n">
        <f aca="false">150/0.0000000000001</f>
        <v>1500000000000000</v>
      </c>
      <c r="AK34" s="66" t="n">
        <f aca="false">500/0.0000000000001</f>
        <v>5000000000000000</v>
      </c>
      <c r="AL34" s="66"/>
      <c r="AM34" s="71" t="s">
        <v>116</v>
      </c>
      <c r="AN34" s="73" t="n">
        <v>10000</v>
      </c>
      <c r="AO34" s="67"/>
      <c r="AP34" s="64"/>
      <c r="AQ34" s="64"/>
      <c r="AR34" s="64"/>
      <c r="AS34" s="26" t="n">
        <v>150</v>
      </c>
      <c r="AT34" s="0"/>
      <c r="AU34" s="64" t="n">
        <v>0</v>
      </c>
      <c r="AV34" s="19" t="n">
        <v>0</v>
      </c>
      <c r="AW34" s="19" t="s">
        <v>117</v>
      </c>
      <c r="AX34" s="69" t="n">
        <v>0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true" outlineLevel="0" collapsed="false">
      <c r="A35" s="14" t="n">
        <v>0.1</v>
      </c>
      <c r="B35" s="0"/>
      <c r="C35" s="0"/>
      <c r="D35" s="14" t="n">
        <f aca="false">E35/I35</f>
        <v>0.17</v>
      </c>
      <c r="E35" s="15" t="n">
        <f aca="false">(G35+F35)/2/H35</f>
        <v>136</v>
      </c>
      <c r="F35" s="44" t="n">
        <v>758</v>
      </c>
      <c r="G35" s="45" t="n">
        <v>874</v>
      </c>
      <c r="H35" s="39" t="n">
        <v>6</v>
      </c>
      <c r="I35" s="19" t="n">
        <v>800</v>
      </c>
      <c r="J35" s="19" t="n">
        <v>0.1</v>
      </c>
      <c r="K35" s="0"/>
      <c r="M35" s="20" t="n">
        <f aca="false">0.0001*A35*10000/(J35*0.000000000001)</f>
        <v>1000000000000</v>
      </c>
      <c r="N35" s="19" t="n">
        <v>500</v>
      </c>
      <c r="O35" s="0"/>
      <c r="P35" s="0"/>
      <c r="Q35" s="19" t="n">
        <f aca="false">M35*N35</f>
        <v>500000000000000</v>
      </c>
      <c r="R35" s="21" t="n">
        <f aca="false">A35*N35</f>
        <v>50</v>
      </c>
      <c r="S35" s="0"/>
      <c r="T35" s="22" t="n">
        <f aca="false">(G35-F35)/H35/E35</f>
        <v>0.142156862745098</v>
      </c>
      <c r="U35" s="22" t="n">
        <f aca="false">T35/2</f>
        <v>0.071078431372549</v>
      </c>
      <c r="V35" s="0"/>
      <c r="W35" s="0"/>
      <c r="X35" s="0"/>
      <c r="Y35" s="0"/>
      <c r="Z35" s="40" t="s">
        <v>145</v>
      </c>
      <c r="AA35" s="19" t="s">
        <v>146</v>
      </c>
      <c r="AB35" s="41" t="n">
        <v>2008</v>
      </c>
      <c r="AC35" s="40" t="s">
        <v>147</v>
      </c>
      <c r="AD35" s="0"/>
      <c r="AE35" s="0"/>
      <c r="AF35" s="0"/>
      <c r="AG35" s="19" t="s">
        <v>148</v>
      </c>
      <c r="AH35" s="0"/>
      <c r="AI35" s="0"/>
      <c r="AJ35" s="43"/>
      <c r="AK35" s="43"/>
      <c r="AL35" s="43"/>
      <c r="AM35" s="19" t="s">
        <v>116</v>
      </c>
      <c r="AN35" s="0"/>
      <c r="AO35" s="40" t="n">
        <v>10</v>
      </c>
      <c r="AP35" s="0"/>
      <c r="AQ35" s="0"/>
      <c r="AR35" s="0"/>
      <c r="AS35" s="26" t="n">
        <v>190</v>
      </c>
      <c r="AT35" s="0"/>
      <c r="AU35" s="19" t="n">
        <v>0</v>
      </c>
      <c r="AV35" s="19" t="n">
        <v>0</v>
      </c>
      <c r="AW35" s="19" t="s">
        <v>117</v>
      </c>
      <c r="AX35" s="41" t="n">
        <v>0</v>
      </c>
      <c r="AY35" s="23" t="s">
        <v>107</v>
      </c>
      <c r="AZ35" s="74" t="n">
        <v>1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4.4" hidden="false" customHeight="false" outlineLevel="0" collapsed="false">
      <c r="A36" s="14" t="n">
        <v>0.000453</v>
      </c>
      <c r="B36" s="0"/>
      <c r="C36" s="0"/>
      <c r="D36" s="14" t="n">
        <f aca="false">E36/I36</f>
        <v>0.935483870967742</v>
      </c>
      <c r="E36" s="15" t="n">
        <f aca="false">(G36+F36)/2/H36</f>
        <v>725</v>
      </c>
      <c r="F36" s="44" t="n">
        <v>690</v>
      </c>
      <c r="G36" s="45" t="n">
        <v>760</v>
      </c>
      <c r="H36" s="39" t="n">
        <v>1</v>
      </c>
      <c r="I36" s="64" t="n">
        <v>775</v>
      </c>
      <c r="J36" s="64" t="n">
        <v>0.15</v>
      </c>
      <c r="K36" s="53" t="n">
        <v>1E-007</v>
      </c>
      <c r="M36" s="20" t="n">
        <f aca="false">0.0001*A36*10000/(J36*0.000000000001)</f>
        <v>3020000000</v>
      </c>
      <c r="N36" s="64" t="n">
        <v>1000</v>
      </c>
      <c r="O36" s="64"/>
      <c r="P36" s="64"/>
      <c r="Q36" s="53" t="n">
        <f aca="false">M36*N36</f>
        <v>3020000000000</v>
      </c>
      <c r="R36" s="21" t="n">
        <f aca="false">A36*N36</f>
        <v>0.453</v>
      </c>
      <c r="S36" s="65" t="n">
        <f aca="false">(G36-F36)/4/H36</f>
        <v>17.5</v>
      </c>
      <c r="T36" s="22" t="n">
        <f aca="false">(G36-F36)/H36/E36</f>
        <v>0.096551724137931</v>
      </c>
      <c r="U36" s="22" t="n">
        <f aca="false">T36/2</f>
        <v>0.0482758620689655</v>
      </c>
      <c r="V36" s="0"/>
      <c r="W36" s="0"/>
      <c r="X36" s="0"/>
      <c r="Y36" s="0"/>
      <c r="Z36" s="40" t="s">
        <v>143</v>
      </c>
      <c r="AA36" s="64" t="s">
        <v>144</v>
      </c>
      <c r="AB36" s="41" t="n">
        <v>2006</v>
      </c>
      <c r="AC36" s="40" t="s">
        <v>110</v>
      </c>
      <c r="AD36" s="0"/>
      <c r="AE36" s="0"/>
      <c r="AF36" s="0"/>
      <c r="AG36" s="19" t="s">
        <v>111</v>
      </c>
      <c r="AH36" s="19" t="n">
        <v>1.12</v>
      </c>
      <c r="AI36" s="64" t="s">
        <v>115</v>
      </c>
      <c r="AJ36" s="66" t="n">
        <f aca="false">150/0.0000000000001</f>
        <v>1500000000000000</v>
      </c>
      <c r="AK36" s="66" t="n">
        <f aca="false">500/0.0000000000001</f>
        <v>5000000000000000</v>
      </c>
      <c r="AL36" s="66"/>
      <c r="AM36" s="71" t="s">
        <v>116</v>
      </c>
      <c r="AN36" s="73" t="n">
        <v>10000</v>
      </c>
      <c r="AO36" s="67"/>
      <c r="AP36" s="64"/>
      <c r="AQ36" s="64"/>
      <c r="AR36" s="64"/>
      <c r="AS36" s="26" t="n">
        <v>150</v>
      </c>
      <c r="AT36" s="0"/>
      <c r="AU36" s="64" t="n">
        <v>0</v>
      </c>
      <c r="AV36" s="19" t="n">
        <v>90</v>
      </c>
      <c r="AW36" s="19" t="s">
        <v>117</v>
      </c>
      <c r="AX36" s="69" t="n">
        <v>0</v>
      </c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5" hidden="false" customHeight="true" outlineLevel="0" collapsed="false">
      <c r="A37" s="14" t="n">
        <v>1.5</v>
      </c>
      <c r="B37" s="0"/>
      <c r="C37" s="0"/>
      <c r="D37" s="14" t="n">
        <f aca="false">E37/I37</f>
        <v>0.286290322580645</v>
      </c>
      <c r="E37" s="15" t="n">
        <f aca="false">(G37+F37)/2/H37</f>
        <v>71</v>
      </c>
      <c r="F37" s="75" t="n">
        <v>757</v>
      </c>
      <c r="G37" s="71" t="n">
        <v>805</v>
      </c>
      <c r="H37" s="39" t="n">
        <v>11</v>
      </c>
      <c r="I37" s="19" t="n">
        <v>248</v>
      </c>
      <c r="J37" s="19" t="n">
        <v>0.38</v>
      </c>
      <c r="K37" s="0"/>
      <c r="M37" s="20" t="n">
        <f aca="false">0.0001*A37*10000/(J37*0.000000000001)</f>
        <v>3947368421052.63</v>
      </c>
      <c r="N37" s="19" t="n">
        <v>100</v>
      </c>
      <c r="O37" s="0"/>
      <c r="P37" s="0"/>
      <c r="Q37" s="53" t="n">
        <f aca="false">M37*N37</f>
        <v>394736842105263</v>
      </c>
      <c r="R37" s="21" t="n">
        <f aca="false">A37*N37</f>
        <v>150</v>
      </c>
      <c r="S37" s="0"/>
      <c r="T37" s="72" t="n">
        <f aca="false">(G37-F37)/H37/E37</f>
        <v>0.0614596670934699</v>
      </c>
      <c r="U37" s="22" t="n">
        <f aca="false">T37/2</f>
        <v>0.030729833546735</v>
      </c>
      <c r="V37" s="0"/>
      <c r="W37" s="0"/>
      <c r="X37" s="0"/>
      <c r="Y37" s="0"/>
      <c r="Z37" s="40" t="s">
        <v>149</v>
      </c>
      <c r="AA37" s="19" t="s">
        <v>150</v>
      </c>
      <c r="AB37" s="41" t="n">
        <v>1999</v>
      </c>
      <c r="AC37" s="40" t="s">
        <v>151</v>
      </c>
      <c r="AD37" s="0"/>
      <c r="AE37" s="0"/>
      <c r="AF37" s="0"/>
      <c r="AG37" s="19" t="s">
        <v>111</v>
      </c>
      <c r="AH37" s="0"/>
      <c r="AI37" s="0"/>
      <c r="AJ37" s="43"/>
      <c r="AK37" s="43"/>
      <c r="AL37" s="43"/>
      <c r="AM37" s="71" t="s">
        <v>116</v>
      </c>
      <c r="AN37" s="68" t="n">
        <v>10000</v>
      </c>
      <c r="AO37" s="0"/>
      <c r="AP37" s="0"/>
      <c r="AQ37" s="0"/>
      <c r="AR37" s="0"/>
      <c r="AS37" s="0"/>
      <c r="AT37" s="0"/>
      <c r="AU37" s="19" t="n">
        <v>0</v>
      </c>
      <c r="AV37" s="19" t="n">
        <v>0</v>
      </c>
      <c r="AW37" s="19" t="s">
        <v>117</v>
      </c>
      <c r="AX37" s="69" t="n">
        <v>0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5" hidden="false" customHeight="true" outlineLevel="0" collapsed="false">
      <c r="A38" s="14" t="n">
        <v>1.5</v>
      </c>
      <c r="B38" s="0"/>
      <c r="C38" s="0"/>
      <c r="D38" s="14" t="n">
        <f aca="false">E38/I38</f>
        <v>0.784610215053764</v>
      </c>
      <c r="E38" s="15" t="n">
        <f aca="false">(G38+F38)/2/H38</f>
        <v>194.583333333333</v>
      </c>
      <c r="F38" s="75" t="n">
        <v>1114</v>
      </c>
      <c r="G38" s="71" t="n">
        <v>1221</v>
      </c>
      <c r="H38" s="39" t="n">
        <v>6</v>
      </c>
      <c r="I38" s="19" t="n">
        <v>248</v>
      </c>
      <c r="J38" s="19" t="n">
        <v>0.38</v>
      </c>
      <c r="K38" s="0"/>
      <c r="M38" s="20" t="n">
        <f aca="false">0.0001*A38*10000/(J38*0.000000000001)</f>
        <v>3947368421052.63</v>
      </c>
      <c r="N38" s="19" t="n">
        <v>100</v>
      </c>
      <c r="O38" s="0"/>
      <c r="P38" s="0"/>
      <c r="Q38" s="53" t="n">
        <f aca="false">M38*N38</f>
        <v>394736842105263</v>
      </c>
      <c r="R38" s="21" t="n">
        <f aca="false">A38*N38</f>
        <v>150</v>
      </c>
      <c r="S38" s="0"/>
      <c r="T38" s="72" t="n">
        <f aca="false">(G38-F38)/H38/E38</f>
        <v>0.0916488222698073</v>
      </c>
      <c r="U38" s="22" t="n">
        <f aca="false">T38/2</f>
        <v>0.0458244111349036</v>
      </c>
      <c r="V38" s="0"/>
      <c r="W38" s="0"/>
      <c r="X38" s="0"/>
      <c r="Y38" s="0"/>
      <c r="Z38" s="40" t="s">
        <v>149</v>
      </c>
      <c r="AA38" s="19" t="s">
        <v>150</v>
      </c>
      <c r="AB38" s="41" t="n">
        <v>1999</v>
      </c>
      <c r="AC38" s="40" t="s">
        <v>152</v>
      </c>
      <c r="AD38" s="0"/>
      <c r="AE38" s="0"/>
      <c r="AF38" s="0"/>
      <c r="AG38" s="19" t="s">
        <v>111</v>
      </c>
      <c r="AH38" s="0"/>
      <c r="AI38" s="0"/>
      <c r="AJ38" s="43"/>
      <c r="AK38" s="43"/>
      <c r="AL38" s="43"/>
      <c r="AM38" s="71" t="s">
        <v>116</v>
      </c>
      <c r="AN38" s="68" t="n">
        <v>10000</v>
      </c>
      <c r="AO38" s="0"/>
      <c r="AP38" s="0"/>
      <c r="AQ38" s="0"/>
      <c r="AR38" s="0"/>
      <c r="AS38" s="0"/>
      <c r="AT38" s="0"/>
      <c r="AU38" s="19" t="n">
        <v>0</v>
      </c>
      <c r="AV38" s="19" t="n">
        <v>0</v>
      </c>
      <c r="AW38" s="19" t="s">
        <v>117</v>
      </c>
      <c r="AX38" s="69" t="n">
        <v>0</v>
      </c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4.4" hidden="false" customHeight="false" outlineLevel="0" collapsed="false">
      <c r="A39" s="14" t="n">
        <v>0.000453</v>
      </c>
      <c r="B39" s="0"/>
      <c r="C39" s="0"/>
      <c r="D39" s="14" t="n">
        <f aca="false">E39/I39</f>
        <v>0.935483870967742</v>
      </c>
      <c r="E39" s="15" t="n">
        <f aca="false">(F39+G39)/2/H39</f>
        <v>725</v>
      </c>
      <c r="F39" s="45" t="n">
        <v>670</v>
      </c>
      <c r="G39" s="44" t="n">
        <v>780</v>
      </c>
      <c r="H39" s="39" t="n">
        <v>1</v>
      </c>
      <c r="I39" s="64" t="n">
        <v>775</v>
      </c>
      <c r="J39" s="64" t="n">
        <v>0.15</v>
      </c>
      <c r="K39" s="53" t="n">
        <v>1E-007</v>
      </c>
      <c r="M39" s="20" t="n">
        <f aca="false">0.0001*A39*10000/(J39*0.000000000001)</f>
        <v>3020000000</v>
      </c>
      <c r="N39" s="64" t="n">
        <v>1000</v>
      </c>
      <c r="O39" s="64"/>
      <c r="P39" s="64"/>
      <c r="Q39" s="53" t="n">
        <f aca="false">M39*N39</f>
        <v>3020000000000</v>
      </c>
      <c r="R39" s="21" t="n">
        <f aca="false">A39*N39</f>
        <v>0.453</v>
      </c>
      <c r="S39" s="65" t="n">
        <f aca="false">(G39-F39)/4/H39</f>
        <v>27.5</v>
      </c>
      <c r="T39" s="22" t="n">
        <f aca="false">(G39-F39)/H39/E39</f>
        <v>0.151724137931034</v>
      </c>
      <c r="U39" s="22" t="n">
        <f aca="false">T39/2</f>
        <v>0.0758620689655172</v>
      </c>
      <c r="V39" s="0"/>
      <c r="W39" s="0"/>
      <c r="X39" s="0"/>
      <c r="Y39" s="0"/>
      <c r="Z39" s="40" t="s">
        <v>143</v>
      </c>
      <c r="AA39" s="64" t="s">
        <v>144</v>
      </c>
      <c r="AB39" s="41" t="n">
        <v>2006</v>
      </c>
      <c r="AC39" s="40" t="s">
        <v>110</v>
      </c>
      <c r="AD39" s="0"/>
      <c r="AE39" s="0"/>
      <c r="AF39" s="0"/>
      <c r="AG39" s="19" t="s">
        <v>111</v>
      </c>
      <c r="AH39" s="19" t="n">
        <v>1.12</v>
      </c>
      <c r="AI39" s="64" t="s">
        <v>115</v>
      </c>
      <c r="AJ39" s="66" t="n">
        <f aca="false">150/0.0000000000001</f>
        <v>1500000000000000</v>
      </c>
      <c r="AK39" s="66" t="n">
        <f aca="false">500/0.0000000000001</f>
        <v>5000000000000000</v>
      </c>
      <c r="AL39" s="66"/>
      <c r="AM39" s="71" t="s">
        <v>116</v>
      </c>
      <c r="AN39" s="73" t="n">
        <v>10000</v>
      </c>
      <c r="AO39" s="67"/>
      <c r="AP39" s="64"/>
      <c r="AQ39" s="64"/>
      <c r="AR39" s="64"/>
      <c r="AS39" s="26" t="n">
        <v>150</v>
      </c>
      <c r="AT39" s="0"/>
      <c r="AU39" s="64" t="n">
        <v>0</v>
      </c>
      <c r="AV39" s="19" t="n">
        <v>45</v>
      </c>
      <c r="AW39" s="19" t="s">
        <v>153</v>
      </c>
      <c r="AX39" s="69" t="n">
        <v>0</v>
      </c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5" hidden="false" customHeight="true" outlineLevel="0" collapsed="false">
      <c r="A40" s="14" t="n">
        <v>0.15</v>
      </c>
      <c r="B40" s="0"/>
      <c r="C40" s="0"/>
      <c r="D40" s="14" t="n">
        <f aca="false">E40/I40</f>
        <v>0.15125</v>
      </c>
      <c r="E40" s="15" t="n">
        <f aca="false">(G40+F40)/2/H40</f>
        <v>121</v>
      </c>
      <c r="F40" s="38" t="n">
        <v>570</v>
      </c>
      <c r="G40" s="17" t="n">
        <v>640</v>
      </c>
      <c r="H40" s="39" t="n">
        <v>5</v>
      </c>
      <c r="I40" s="19" t="n">
        <v>800</v>
      </c>
      <c r="J40" s="19" t="n">
        <v>0.1</v>
      </c>
      <c r="K40" s="0"/>
      <c r="M40" s="20" t="n">
        <f aca="false">0.0001*A40*10000/(J40*0.000000000001)</f>
        <v>1500000000000</v>
      </c>
      <c r="N40" s="19" t="n">
        <v>1000</v>
      </c>
      <c r="O40" s="0"/>
      <c r="P40" s="0"/>
      <c r="Q40" s="19" t="n">
        <f aca="false">M40*N40</f>
        <v>1500000000000000</v>
      </c>
      <c r="R40" s="21" t="n">
        <f aca="false">A40*N40</f>
        <v>150</v>
      </c>
      <c r="S40" s="0"/>
      <c r="T40" s="22" t="n">
        <f aca="false">(G40-F40)/H40/E40</f>
        <v>0.115702479338843</v>
      </c>
      <c r="U40" s="22" t="n">
        <f aca="false">T40/2</f>
        <v>0.0578512396694215</v>
      </c>
      <c r="V40" s="0"/>
      <c r="W40" s="0"/>
      <c r="X40" s="0"/>
      <c r="Z40" s="40" t="s">
        <v>145</v>
      </c>
      <c r="AA40" s="19" t="s">
        <v>146</v>
      </c>
      <c r="AB40" s="41" t="n">
        <v>2008</v>
      </c>
      <c r="AC40" s="40" t="s">
        <v>147</v>
      </c>
      <c r="AD40" s="0"/>
      <c r="AE40" s="0"/>
      <c r="AF40" s="0"/>
      <c r="AG40" s="19" t="s">
        <v>148</v>
      </c>
      <c r="AH40" s="0"/>
      <c r="AI40" s="0"/>
      <c r="AJ40" s="43"/>
      <c r="AK40" s="43"/>
      <c r="AL40" s="43"/>
      <c r="AM40" s="19" t="s">
        <v>116</v>
      </c>
      <c r="AN40" s="0"/>
      <c r="AO40" s="40" t="n">
        <v>10</v>
      </c>
      <c r="AP40" s="0"/>
      <c r="AQ40" s="0"/>
      <c r="AR40" s="0"/>
      <c r="AS40" s="0"/>
      <c r="AT40" s="0"/>
      <c r="AU40" s="0"/>
      <c r="AV40" s="0"/>
      <c r="AW40" s="19" t="s">
        <v>117</v>
      </c>
      <c r="AX40" s="41" t="n">
        <v>0</v>
      </c>
      <c r="AY40" s="23" t="s">
        <v>107</v>
      </c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true" outlineLevel="0" collapsed="false">
      <c r="A41" s="14" t="n">
        <v>0.1</v>
      </c>
      <c r="B41" s="0"/>
      <c r="C41" s="0"/>
      <c r="D41" s="14" t="n">
        <f aca="false">E41/I41</f>
        <v>0.223125</v>
      </c>
      <c r="E41" s="15" t="n">
        <f aca="false">(G41+F41)/2/H41</f>
        <v>178.5</v>
      </c>
      <c r="F41" s="38" t="n">
        <v>846</v>
      </c>
      <c r="G41" s="17" t="n">
        <v>939</v>
      </c>
      <c r="H41" s="39" t="n">
        <v>5</v>
      </c>
      <c r="I41" s="19" t="n">
        <v>800</v>
      </c>
      <c r="J41" s="19" t="n">
        <v>0.1</v>
      </c>
      <c r="K41" s="0"/>
      <c r="M41" s="20" t="n">
        <f aca="false">0.0001*A41*10000/(J41*0.000000000001)</f>
        <v>1000000000000</v>
      </c>
      <c r="N41" s="19" t="n">
        <v>1000</v>
      </c>
      <c r="O41" s="0"/>
      <c r="P41" s="0"/>
      <c r="Q41" s="19" t="n">
        <f aca="false">M41*N41</f>
        <v>1000000000000000</v>
      </c>
      <c r="R41" s="21" t="n">
        <f aca="false">A41*N41</f>
        <v>100</v>
      </c>
      <c r="S41" s="0"/>
      <c r="T41" s="22" t="n">
        <f aca="false">(G41-F41)/H41/E41</f>
        <v>0.104201680672269</v>
      </c>
      <c r="U41" s="22" t="n">
        <f aca="false">T41/2</f>
        <v>0.0521008403361345</v>
      </c>
      <c r="V41" s="0"/>
      <c r="W41" s="0"/>
      <c r="X41" s="0"/>
      <c r="Y41" s="0"/>
      <c r="Z41" s="40" t="s">
        <v>145</v>
      </c>
      <c r="AA41" s="19" t="s">
        <v>146</v>
      </c>
      <c r="AB41" s="41" t="n">
        <v>2008</v>
      </c>
      <c r="AC41" s="40" t="s">
        <v>147</v>
      </c>
      <c r="AD41" s="0"/>
      <c r="AE41" s="0"/>
      <c r="AF41" s="0"/>
      <c r="AG41" s="19" t="s">
        <v>148</v>
      </c>
      <c r="AH41" s="0"/>
      <c r="AI41" s="0"/>
      <c r="AJ41" s="43"/>
      <c r="AK41" s="43"/>
      <c r="AL41" s="43"/>
      <c r="AM41" s="19" t="s">
        <v>116</v>
      </c>
      <c r="AN41" s="0"/>
      <c r="AO41" s="40" t="n">
        <v>10</v>
      </c>
      <c r="AP41" s="0"/>
      <c r="AQ41" s="0"/>
      <c r="AR41" s="0"/>
      <c r="AS41" s="0"/>
      <c r="AT41" s="0"/>
      <c r="AU41" s="0"/>
      <c r="AV41" s="0"/>
      <c r="AW41" s="19" t="s">
        <v>117</v>
      </c>
      <c r="AX41" s="41" t="n">
        <v>0</v>
      </c>
      <c r="AY41" s="23" t="s">
        <v>107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4.4" hidden="false" customHeight="false" outlineLevel="0" collapsed="false">
      <c r="A42" s="14" t="n">
        <v>1</v>
      </c>
      <c r="B42" s="0"/>
      <c r="C42" s="0"/>
      <c r="D42" s="14" t="n">
        <f aca="false">E42/I42</f>
        <v>0.809428571428571</v>
      </c>
      <c r="E42" s="15" t="n">
        <f aca="false">(G42+F42)/2/H42</f>
        <v>1011.78571428571</v>
      </c>
      <c r="F42" s="38" t="n">
        <v>6632</v>
      </c>
      <c r="G42" s="17" t="n">
        <v>7533</v>
      </c>
      <c r="H42" s="39" t="n">
        <v>7</v>
      </c>
      <c r="I42" s="19" t="n">
        <v>1250</v>
      </c>
      <c r="J42" s="19" t="n">
        <v>0.08</v>
      </c>
      <c r="K42" s="0"/>
      <c r="M42" s="20" t="n">
        <f aca="false">0.0001*A42*10000/(J42*0.000000000001)</f>
        <v>12500000000000</v>
      </c>
      <c r="N42" s="19" t="n">
        <v>1200</v>
      </c>
      <c r="O42" s="0"/>
      <c r="P42" s="0"/>
      <c r="Q42" s="19" t="n">
        <f aca="false">M42*N42</f>
        <v>15000000000000000</v>
      </c>
      <c r="R42" s="21" t="n">
        <f aca="false">A42*N42</f>
        <v>1200</v>
      </c>
      <c r="S42" s="65" t="n">
        <f aca="false">(G42-F42)/4/H42</f>
        <v>32.1785714285714</v>
      </c>
      <c r="T42" s="22" t="n">
        <f aca="false">(G42-F42)/H42/E42</f>
        <v>0.127214966466643</v>
      </c>
      <c r="U42" s="22" t="n">
        <f aca="false">T42/2</f>
        <v>0.0636074832333216</v>
      </c>
      <c r="V42" s="0"/>
      <c r="W42" s="0"/>
      <c r="X42" s="0"/>
      <c r="Y42" s="0"/>
      <c r="Z42" s="40" t="s">
        <v>136</v>
      </c>
      <c r="AA42" s="19" t="s">
        <v>137</v>
      </c>
      <c r="AB42" s="41" t="n">
        <v>2008</v>
      </c>
      <c r="AC42" s="40" t="s">
        <v>110</v>
      </c>
      <c r="AD42" s="0"/>
      <c r="AE42" s="0"/>
      <c r="AF42" s="0"/>
      <c r="AG42" s="19" t="s">
        <v>111</v>
      </c>
      <c r="AH42" s="19" t="n">
        <v>1.12</v>
      </c>
      <c r="AI42" s="19" t="n">
        <v>100</v>
      </c>
      <c r="AJ42" s="0"/>
      <c r="AK42" s="0"/>
      <c r="AL42" s="0"/>
      <c r="AM42" s="19" t="s">
        <v>116</v>
      </c>
      <c r="AN42" s="70" t="n">
        <v>10000</v>
      </c>
      <c r="AO42" s="40" t="n">
        <v>10</v>
      </c>
      <c r="AP42" s="0"/>
      <c r="AQ42" s="0"/>
      <c r="AR42" s="0"/>
      <c r="AS42" s="0"/>
      <c r="AT42" s="0"/>
      <c r="AU42" s="19" t="n">
        <v>0</v>
      </c>
      <c r="AV42" s="19" t="n">
        <v>0</v>
      </c>
      <c r="AW42" s="19" t="s">
        <v>117</v>
      </c>
      <c r="AX42" s="41" t="n">
        <v>0</v>
      </c>
      <c r="AY42" s="23" t="s">
        <v>107</v>
      </c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4.4" hidden="false" customHeight="false" outlineLevel="0" collapsed="false">
      <c r="A43" s="14" t="n">
        <v>1</v>
      </c>
      <c r="B43" s="0"/>
      <c r="C43" s="0"/>
      <c r="D43" s="14" t="n">
        <f aca="false">E43/I43</f>
        <v>0.827111111111111</v>
      </c>
      <c r="E43" s="15" t="n">
        <f aca="false">(G43+F43)/2/H43</f>
        <v>1033.88888888889</v>
      </c>
      <c r="F43" s="38" t="n">
        <v>9050</v>
      </c>
      <c r="G43" s="17" t="n">
        <v>9560</v>
      </c>
      <c r="H43" s="39" t="n">
        <v>9</v>
      </c>
      <c r="I43" s="19" t="n">
        <v>1250</v>
      </c>
      <c r="J43" s="70" t="n">
        <v>0.1</v>
      </c>
      <c r="K43" s="0"/>
      <c r="M43" s="20" t="n">
        <f aca="false">0.0001*A43*10000/(J43*0.000000000001)</f>
        <v>10000000000000</v>
      </c>
      <c r="N43" s="19" t="n">
        <v>1200</v>
      </c>
      <c r="O43" s="0"/>
      <c r="P43" s="0"/>
      <c r="Q43" s="19" t="n">
        <f aca="false">M43*N43</f>
        <v>12000000000000000</v>
      </c>
      <c r="R43" s="21" t="n">
        <f aca="false">A43*N43</f>
        <v>1200</v>
      </c>
      <c r="S43" s="65" t="n">
        <f aca="false">(G43-F43)/4/H43</f>
        <v>14.1666666666667</v>
      </c>
      <c r="T43" s="22" t="n">
        <f aca="false">(G43-F43)/H43/E43</f>
        <v>0.0548092423428264</v>
      </c>
      <c r="U43" s="22" t="n">
        <f aca="false">T43/2</f>
        <v>0.0274046211714132</v>
      </c>
      <c r="V43" s="0"/>
      <c r="W43" s="0"/>
      <c r="X43" s="0"/>
      <c r="Y43" s="0"/>
      <c r="Z43" s="40" t="s">
        <v>136</v>
      </c>
      <c r="AA43" s="19" t="s">
        <v>154</v>
      </c>
      <c r="AB43" s="41" t="n">
        <v>2009</v>
      </c>
      <c r="AC43" s="40" t="s">
        <v>110</v>
      </c>
      <c r="AD43" s="0"/>
      <c r="AE43" s="0"/>
      <c r="AF43" s="0"/>
      <c r="AG43" s="19" t="s">
        <v>111</v>
      </c>
      <c r="AH43" s="19" t="n">
        <v>1.12</v>
      </c>
      <c r="AI43" s="19" t="n">
        <v>100</v>
      </c>
      <c r="AJ43" s="0"/>
      <c r="AK43" s="0"/>
      <c r="AL43" s="0"/>
      <c r="AM43" s="19" t="s">
        <v>116</v>
      </c>
      <c r="AN43" s="70" t="n">
        <v>10000</v>
      </c>
      <c r="AO43" s="40" t="n">
        <v>10</v>
      </c>
      <c r="AP43" s="0"/>
      <c r="AQ43" s="0"/>
      <c r="AR43" s="0"/>
      <c r="AS43" s="26" t="n">
        <v>123</v>
      </c>
      <c r="AT43" s="0"/>
      <c r="AU43" s="0"/>
      <c r="AV43" s="0"/>
      <c r="AW43" s="0"/>
      <c r="AX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true" outlineLevel="0" collapsed="false">
      <c r="A44" s="76" t="n">
        <f aca="false">M44*J44*0.000000000001</f>
        <v>80</v>
      </c>
      <c r="B44" s="76"/>
      <c r="C44" s="76"/>
      <c r="D44" s="14" t="n">
        <f aca="false">E44/I44</f>
        <v>0.25</v>
      </c>
      <c r="E44" s="15" t="n">
        <v>200</v>
      </c>
      <c r="F44" s="0"/>
      <c r="G44" s="0"/>
      <c r="H44" s="0"/>
      <c r="I44" s="19" t="n">
        <v>800</v>
      </c>
      <c r="J44" s="19" t="n">
        <v>0.1</v>
      </c>
      <c r="K44" s="0"/>
      <c r="M44" s="20" t="n">
        <v>800000000000000</v>
      </c>
      <c r="N44" s="19" t="n">
        <v>5000</v>
      </c>
      <c r="O44" s="0"/>
      <c r="P44" s="0"/>
      <c r="Q44" s="19" t="n">
        <f aca="false">M44*N44</f>
        <v>4E+018</v>
      </c>
      <c r="R44" s="21" t="n">
        <f aca="false">A44*N44</f>
        <v>400000</v>
      </c>
      <c r="S44" s="0"/>
      <c r="T44" s="0"/>
      <c r="U44" s="22" t="n">
        <f aca="false">T44/2</f>
        <v>0</v>
      </c>
      <c r="V44" s="0"/>
      <c r="W44" s="0"/>
      <c r="X44" s="0"/>
      <c r="Y44" s="0"/>
      <c r="Z44" s="40" t="s">
        <v>155</v>
      </c>
      <c r="AA44" s="19" t="s">
        <v>125</v>
      </c>
      <c r="AB44" s="41" t="n">
        <v>2006</v>
      </c>
      <c r="AC44" s="40" t="s">
        <v>156</v>
      </c>
      <c r="AD44" s="0"/>
      <c r="AE44" s="0"/>
      <c r="AF44" s="0"/>
      <c r="AG44" s="19" t="s">
        <v>148</v>
      </c>
      <c r="AH44" s="19" t="n">
        <v>12</v>
      </c>
      <c r="AI44" s="19" t="n">
        <v>111</v>
      </c>
      <c r="AJ44" s="0"/>
      <c r="AK44" s="19" t="n">
        <f aca="false">30000000000000*10000</f>
        <v>3E+017</v>
      </c>
      <c r="AL44" s="0"/>
      <c r="AM44" s="19" t="s">
        <v>131</v>
      </c>
      <c r="AN44" s="19" t="n">
        <f aca="false">0.000000000001*15</f>
        <v>1.5E-011</v>
      </c>
      <c r="AO44" s="40" t="n">
        <v>1000</v>
      </c>
      <c r="AP44" s="0"/>
      <c r="AQ44" s="0"/>
      <c r="AR44" s="0"/>
      <c r="AS44" s="0"/>
      <c r="AT44" s="0"/>
      <c r="AU44" s="19" t="n">
        <v>0</v>
      </c>
      <c r="AV44" s="19" t="s">
        <v>157</v>
      </c>
      <c r="AW44" s="19" t="s">
        <v>153</v>
      </c>
      <c r="AX44" s="41" t="n">
        <v>45</v>
      </c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false" customHeight="true" outlineLevel="0" collapsed="false">
      <c r="A45" s="76" t="n">
        <f aca="false">M45*J45*0.000000000001</f>
        <v>80</v>
      </c>
      <c r="B45" s="76"/>
      <c r="C45" s="76"/>
      <c r="D45" s="14" t="n">
        <f aca="false">E45/I45</f>
        <v>0.2875</v>
      </c>
      <c r="E45" s="15" t="n">
        <v>230</v>
      </c>
      <c r="F45" s="0"/>
      <c r="G45" s="0"/>
      <c r="H45" s="0"/>
      <c r="I45" s="19" t="n">
        <v>800</v>
      </c>
      <c r="J45" s="19" t="n">
        <v>0.1</v>
      </c>
      <c r="K45" s="0"/>
      <c r="M45" s="20" t="n">
        <v>800000000000000</v>
      </c>
      <c r="N45" s="19" t="n">
        <v>5000</v>
      </c>
      <c r="O45" s="0"/>
      <c r="P45" s="0"/>
      <c r="Q45" s="19" t="n">
        <f aca="false">M45*N45</f>
        <v>4E+018</v>
      </c>
      <c r="R45" s="21" t="n">
        <f aca="false">A45*N45</f>
        <v>400000</v>
      </c>
      <c r="S45" s="0"/>
      <c r="T45" s="0"/>
      <c r="U45" s="22" t="n">
        <f aca="false">T45/2</f>
        <v>0</v>
      </c>
      <c r="V45" s="0"/>
      <c r="W45" s="0"/>
      <c r="X45" s="0"/>
      <c r="Y45" s="0"/>
      <c r="Z45" s="40" t="s">
        <v>155</v>
      </c>
      <c r="AA45" s="19" t="s">
        <v>125</v>
      </c>
      <c r="AB45" s="41" t="n">
        <v>2006</v>
      </c>
      <c r="AC45" s="40" t="s">
        <v>156</v>
      </c>
      <c r="AD45" s="0"/>
      <c r="AE45" s="0"/>
      <c r="AF45" s="0"/>
      <c r="AG45" s="19" t="s">
        <v>148</v>
      </c>
      <c r="AH45" s="19" t="n">
        <v>12</v>
      </c>
      <c r="AI45" s="19" t="n">
        <v>111</v>
      </c>
      <c r="AJ45" s="0"/>
      <c r="AK45" s="19" t="n">
        <f aca="false">30000000000000*10000</f>
        <v>3E+017</v>
      </c>
      <c r="AL45" s="0"/>
      <c r="AM45" s="19" t="s">
        <v>131</v>
      </c>
      <c r="AN45" s="19" t="n">
        <f aca="false">0.000000000001*15</f>
        <v>1.5E-011</v>
      </c>
      <c r="AO45" s="40" t="n">
        <v>1000</v>
      </c>
      <c r="AP45" s="0"/>
      <c r="AQ45" s="0"/>
      <c r="AR45" s="0"/>
      <c r="AS45" s="0"/>
      <c r="AT45" s="0"/>
      <c r="AU45" s="19" t="n">
        <v>0</v>
      </c>
      <c r="AV45" s="19" t="s">
        <v>158</v>
      </c>
      <c r="AW45" s="19" t="s">
        <v>153</v>
      </c>
      <c r="AX45" s="41" t="n">
        <v>45</v>
      </c>
      <c r="AY45" s="23" t="s">
        <v>107</v>
      </c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true" outlineLevel="0" collapsed="false">
      <c r="A46" s="0"/>
      <c r="B46" s="0"/>
      <c r="C46" s="0"/>
      <c r="D46" s="14" t="n">
        <f aca="false">E46/I46</f>
        <v>0.408035714285714</v>
      </c>
      <c r="E46" s="15" t="n">
        <f aca="false">(G46+F46)/2/H46</f>
        <v>326.428571428571</v>
      </c>
      <c r="F46" s="44" t="n">
        <v>11340</v>
      </c>
      <c r="G46" s="45" t="n">
        <v>11510</v>
      </c>
      <c r="H46" s="39" t="n">
        <v>35</v>
      </c>
      <c r="I46" s="64" t="n">
        <v>800</v>
      </c>
      <c r="J46" s="64" t="n">
        <v>0.12</v>
      </c>
      <c r="K46" s="64"/>
      <c r="M46" s="20" t="n">
        <v>9000000000000</v>
      </c>
      <c r="N46" s="64" t="n">
        <v>45000</v>
      </c>
      <c r="O46" s="64"/>
      <c r="P46" s="64"/>
      <c r="Q46" s="53" t="n">
        <f aca="false">M46*N46</f>
        <v>4.05E+017</v>
      </c>
      <c r="R46" s="0"/>
      <c r="S46" s="0"/>
      <c r="T46" s="22" t="n">
        <f aca="false">(G46-F46)/H46/E46</f>
        <v>0.0148796498905908</v>
      </c>
      <c r="U46" s="22" t="n">
        <f aca="false">T46/2</f>
        <v>0.0074398249452954</v>
      </c>
      <c r="V46" s="0"/>
      <c r="W46" s="0"/>
      <c r="X46" s="0"/>
      <c r="Y46" s="0"/>
      <c r="Z46" s="40" t="s">
        <v>140</v>
      </c>
      <c r="AA46" s="64" t="s">
        <v>159</v>
      </c>
      <c r="AB46" s="41" t="n">
        <v>2002</v>
      </c>
      <c r="AC46" s="40" t="s">
        <v>160</v>
      </c>
      <c r="AD46" s="0"/>
      <c r="AE46" s="0"/>
      <c r="AF46" s="0"/>
      <c r="AG46" s="19" t="s">
        <v>148</v>
      </c>
      <c r="AH46" s="19" t="n">
        <v>11.3</v>
      </c>
      <c r="AI46" s="0"/>
      <c r="AJ46" s="43"/>
      <c r="AK46" s="66" t="n">
        <f aca="false">500/0.0000000000001</f>
        <v>5000000000000000</v>
      </c>
      <c r="AL46" s="66"/>
      <c r="AM46" s="64" t="s">
        <v>131</v>
      </c>
      <c r="AN46" s="53" t="n">
        <f aca="false">0.000000000001*100000</f>
        <v>1E-007</v>
      </c>
      <c r="AO46" s="67" t="n">
        <v>1000</v>
      </c>
      <c r="AP46" s="0"/>
      <c r="AQ46" s="0"/>
      <c r="AR46" s="0"/>
      <c r="AS46" s="0"/>
      <c r="AT46" s="0"/>
      <c r="AU46" s="19" t="n">
        <v>3</v>
      </c>
      <c r="AV46" s="0"/>
      <c r="AW46" s="19" t="s">
        <v>117</v>
      </c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4.4" hidden="false" customHeight="false" outlineLevel="0" collapsed="false">
      <c r="A47" s="0"/>
      <c r="B47" s="0"/>
      <c r="C47" s="0"/>
      <c r="D47" s="14" t="n">
        <f aca="false">E47/I47</f>
        <v>0.25</v>
      </c>
      <c r="E47" s="15" t="n">
        <v>200</v>
      </c>
      <c r="F47" s="0"/>
      <c r="G47" s="0"/>
      <c r="H47" s="0"/>
      <c r="I47" s="64" t="n">
        <v>800</v>
      </c>
      <c r="J47" s="64" t="n">
        <v>0.1</v>
      </c>
      <c r="K47" s="64"/>
      <c r="M47" s="77"/>
      <c r="N47" s="0"/>
      <c r="O47" s="0"/>
      <c r="P47" s="0"/>
      <c r="Q47" s="53" t="n">
        <f aca="false">M47*N47</f>
        <v>0</v>
      </c>
      <c r="R47" s="0"/>
      <c r="S47" s="0"/>
      <c r="T47" s="0"/>
      <c r="U47" s="22" t="n">
        <f aca="false">T47/2</f>
        <v>0</v>
      </c>
      <c r="V47" s="0"/>
      <c r="W47" s="0"/>
      <c r="X47" s="0"/>
      <c r="Y47" s="0"/>
      <c r="Z47" s="40" t="s">
        <v>140</v>
      </c>
      <c r="AA47" s="64" t="s">
        <v>141</v>
      </c>
      <c r="AB47" s="41" t="n">
        <v>2006</v>
      </c>
      <c r="AC47" s="40" t="s">
        <v>110</v>
      </c>
      <c r="AD47" s="0"/>
      <c r="AE47" s="0"/>
      <c r="AF47" s="0"/>
      <c r="AG47" s="19" t="s">
        <v>111</v>
      </c>
      <c r="AH47" s="19" t="n">
        <v>1.12</v>
      </c>
      <c r="AI47" s="64" t="s">
        <v>142</v>
      </c>
      <c r="AJ47" s="66" t="n">
        <f aca="false">150/0.0000000000001</f>
        <v>1500000000000000</v>
      </c>
      <c r="AK47" s="66" t="n">
        <f aca="false">500/0.0000000000001</f>
        <v>5000000000000000</v>
      </c>
      <c r="AL47" s="66"/>
      <c r="AM47" s="64" t="s">
        <v>131</v>
      </c>
      <c r="AN47" s="64"/>
      <c r="AO47" s="67"/>
      <c r="AP47" s="70" t="n">
        <v>1E+021</v>
      </c>
      <c r="AQ47" s="70"/>
      <c r="AR47" s="70"/>
      <c r="AS47" s="26" t="n">
        <v>100</v>
      </c>
      <c r="AT47" s="0"/>
      <c r="AU47" s="0"/>
      <c r="AV47" s="0"/>
      <c r="AW47" s="19" t="s">
        <v>117</v>
      </c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4.4" hidden="false" customHeight="false" outlineLevel="0" collapsed="false">
      <c r="A48" s="0"/>
      <c r="B48" s="0"/>
      <c r="C48" s="0"/>
      <c r="D48" s="14" t="n">
        <f aca="false">E48/I48</f>
        <v>0.625</v>
      </c>
      <c r="E48" s="15" t="n">
        <v>500</v>
      </c>
      <c r="F48" s="78"/>
      <c r="G48" s="0"/>
      <c r="H48" s="0"/>
      <c r="I48" s="64" t="n">
        <v>800</v>
      </c>
      <c r="J48" s="64" t="n">
        <v>0.1</v>
      </c>
      <c r="K48" s="64"/>
      <c r="M48" s="77"/>
      <c r="N48" s="0"/>
      <c r="O48" s="0"/>
      <c r="P48" s="0"/>
      <c r="Q48" s="53" t="n">
        <f aca="false">M48*N48</f>
        <v>0</v>
      </c>
      <c r="R48" s="0"/>
      <c r="S48" s="0"/>
      <c r="T48" s="0"/>
      <c r="U48" s="22" t="n">
        <f aca="false">T48/2</f>
        <v>0</v>
      </c>
      <c r="V48" s="0"/>
      <c r="W48" s="0"/>
      <c r="X48" s="0"/>
      <c r="Y48" s="0"/>
      <c r="Z48" s="40" t="s">
        <v>140</v>
      </c>
      <c r="AA48" s="64" t="s">
        <v>141</v>
      </c>
      <c r="AB48" s="41" t="n">
        <v>2006</v>
      </c>
      <c r="AC48" s="40" t="s">
        <v>110</v>
      </c>
      <c r="AD48" s="0"/>
      <c r="AE48" s="0"/>
      <c r="AF48" s="0"/>
      <c r="AG48" s="19" t="s">
        <v>111</v>
      </c>
      <c r="AH48" s="19" t="n">
        <v>1.12</v>
      </c>
      <c r="AI48" s="64" t="s">
        <v>142</v>
      </c>
      <c r="AJ48" s="66" t="n">
        <f aca="false">150/0.0000000000001</f>
        <v>1500000000000000</v>
      </c>
      <c r="AK48" s="66" t="n">
        <f aca="false">500/0.0000000000001</f>
        <v>5000000000000000</v>
      </c>
      <c r="AL48" s="66"/>
      <c r="AM48" s="64" t="s">
        <v>131</v>
      </c>
      <c r="AN48" s="64"/>
      <c r="AO48" s="67"/>
      <c r="AP48" s="70" t="n">
        <v>1E+021</v>
      </c>
      <c r="AQ48" s="70"/>
      <c r="AR48" s="70"/>
      <c r="AS48" s="26" t="n">
        <v>100</v>
      </c>
      <c r="AT48" s="0"/>
      <c r="AU48" s="0"/>
      <c r="AV48" s="0"/>
      <c r="AW48" s="19" t="s">
        <v>117</v>
      </c>
      <c r="AX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5" hidden="false" customHeight="true" outlineLevel="0" collapsed="false">
      <c r="A49" s="14" t="n">
        <v>1</v>
      </c>
      <c r="B49" s="0"/>
      <c r="C49" s="0"/>
      <c r="D49" s="14" t="n">
        <f aca="false">E49/I49</f>
        <v>0</v>
      </c>
      <c r="E49" s="15" t="n">
        <f aca="false">1000000000*(F49+G49)/2</f>
        <v>0</v>
      </c>
      <c r="F49" s="44"/>
      <c r="G49" s="44"/>
      <c r="H49" s="39" t="n">
        <v>1</v>
      </c>
      <c r="I49" s="19" t="n">
        <v>800</v>
      </c>
      <c r="J49" s="19" t="n">
        <v>0.045</v>
      </c>
      <c r="K49" s="0"/>
      <c r="M49" s="0"/>
      <c r="N49" s="19" t="s">
        <v>108</v>
      </c>
      <c r="O49" s="0"/>
      <c r="P49" s="0"/>
      <c r="Q49" s="0"/>
      <c r="R49" s="0"/>
      <c r="S49" s="0"/>
      <c r="T49" s="0"/>
      <c r="U49" s="22" t="n">
        <f aca="false">T49/2</f>
        <v>0</v>
      </c>
      <c r="V49" s="0"/>
      <c r="W49" s="0"/>
      <c r="X49" s="0"/>
      <c r="Y49" s="0"/>
      <c r="Z49" s="40" t="s">
        <v>161</v>
      </c>
      <c r="AA49" s="19" t="s">
        <v>162</v>
      </c>
      <c r="AB49" s="41" t="n">
        <v>2011</v>
      </c>
      <c r="AC49" s="40" t="s">
        <v>163</v>
      </c>
      <c r="AD49" s="0"/>
      <c r="AE49" s="0"/>
      <c r="AF49" s="0"/>
      <c r="AG49" s="0"/>
      <c r="AH49" s="19" t="n">
        <v>2.3</v>
      </c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19" t="s">
        <v>153</v>
      </c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5" hidden="false" customHeight="true" outlineLevel="0" collapsed="false">
      <c r="A50" s="14" t="n">
        <v>0.1</v>
      </c>
      <c r="B50" s="0"/>
      <c r="C50" s="0"/>
      <c r="D50" s="14" t="n">
        <f aca="false">E50/I50</f>
        <v>0.28125</v>
      </c>
      <c r="E50" s="15" t="n">
        <f aca="false">1000000000*(F50+G50)/2</f>
        <v>225</v>
      </c>
      <c r="F50" s="44" t="n">
        <v>2.1E-007</v>
      </c>
      <c r="G50" s="44" t="n">
        <v>2.4E-007</v>
      </c>
      <c r="H50" s="39" t="n">
        <v>1</v>
      </c>
      <c r="I50" s="19" t="n">
        <v>800</v>
      </c>
      <c r="J50" s="70" t="n">
        <v>0.045</v>
      </c>
      <c r="K50" s="0"/>
      <c r="M50" s="0"/>
      <c r="N50" s="19" t="s">
        <v>108</v>
      </c>
      <c r="O50" s="0"/>
      <c r="P50" s="0"/>
      <c r="Q50" s="0"/>
      <c r="R50" s="0"/>
      <c r="S50" s="0"/>
      <c r="T50" s="0"/>
      <c r="U50" s="22" t="n">
        <f aca="false">T50/2</f>
        <v>0</v>
      </c>
      <c r="V50" s="0"/>
      <c r="W50" s="0"/>
      <c r="X50" s="0"/>
      <c r="Y50" s="0"/>
      <c r="Z50" s="40" t="s">
        <v>161</v>
      </c>
      <c r="AA50" s="19" t="s">
        <v>162</v>
      </c>
      <c r="AB50" s="41" t="n">
        <v>2011</v>
      </c>
      <c r="AC50" s="40" t="s">
        <v>163</v>
      </c>
      <c r="AD50" s="0"/>
      <c r="AE50" s="0"/>
      <c r="AF50" s="0"/>
      <c r="AG50" s="0"/>
      <c r="AH50" s="19" t="n">
        <v>2.3</v>
      </c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19" t="n">
        <v>0</v>
      </c>
      <c r="AV50" s="0"/>
      <c r="AW50" s="19" t="s">
        <v>117</v>
      </c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true" outlineLevel="0" collapsed="false">
      <c r="A51" s="14" t="n">
        <v>1</v>
      </c>
      <c r="B51" s="0"/>
      <c r="C51" s="0"/>
      <c r="D51" s="14" t="n">
        <f aca="false">E51/I51</f>
        <v>0.7625</v>
      </c>
      <c r="E51" s="15" t="n">
        <f aca="false">1000000000*(F51+G51)/2</f>
        <v>610</v>
      </c>
      <c r="F51" s="44" t="n">
        <v>5.7E-007</v>
      </c>
      <c r="G51" s="45" t="n">
        <v>6.5E-007</v>
      </c>
      <c r="H51" s="39" t="n">
        <v>1</v>
      </c>
      <c r="I51" s="19" t="n">
        <v>800</v>
      </c>
      <c r="J51" s="70" t="n">
        <v>0.045</v>
      </c>
      <c r="K51" s="0"/>
      <c r="M51" s="0"/>
      <c r="N51" s="19" t="s">
        <v>108</v>
      </c>
      <c r="O51" s="0"/>
      <c r="P51" s="0"/>
      <c r="Q51" s="0"/>
      <c r="R51" s="0"/>
      <c r="S51" s="0"/>
      <c r="T51" s="0"/>
      <c r="U51" s="22" t="n">
        <f aca="false">T51/2</f>
        <v>0</v>
      </c>
      <c r="V51" s="0"/>
      <c r="W51" s="0"/>
      <c r="X51" s="0"/>
      <c r="Y51" s="0"/>
      <c r="Z51" s="40" t="s">
        <v>161</v>
      </c>
      <c r="AA51" s="19" t="s">
        <v>162</v>
      </c>
      <c r="AB51" s="41" t="n">
        <v>2011</v>
      </c>
      <c r="AC51" s="40" t="s">
        <v>163</v>
      </c>
      <c r="AD51" s="0"/>
      <c r="AE51" s="0"/>
      <c r="AF51" s="0"/>
      <c r="AG51" s="0"/>
      <c r="AH51" s="19" t="n">
        <v>2.3</v>
      </c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true" outlineLevel="0" collapsed="false">
      <c r="D52" s="14" t="n">
        <f aca="false">E52/I52</f>
        <v>0.73125</v>
      </c>
      <c r="E52" s="15" t="n">
        <f aca="false">1000000000*(F52+G52)/2</f>
        <v>585</v>
      </c>
      <c r="F52" s="44" t="n">
        <v>4.6E-007</v>
      </c>
      <c r="G52" s="45" t="n">
        <v>7.1E-007</v>
      </c>
      <c r="H52" s="39" t="n">
        <v>1</v>
      </c>
      <c r="I52" s="19" t="n">
        <v>800</v>
      </c>
      <c r="J52" s="70" t="n">
        <v>0.045</v>
      </c>
      <c r="L52" s="23"/>
      <c r="N52" s="19" t="s">
        <v>108</v>
      </c>
      <c r="U52" s="22" t="n">
        <f aca="false">T52/2</f>
        <v>0</v>
      </c>
      <c r="Z52" s="40" t="s">
        <v>161</v>
      </c>
      <c r="AA52" s="19" t="s">
        <v>162</v>
      </c>
      <c r="AB52" s="41" t="n">
        <v>2011</v>
      </c>
      <c r="AC52" s="40" t="s">
        <v>164</v>
      </c>
      <c r="AH52" s="19" t="n">
        <v>1.42</v>
      </c>
      <c r="AO52" s="40"/>
      <c r="AX52" s="41"/>
    </row>
    <row r="53" customFormat="false" ht="15" hidden="false" customHeight="true" outlineLevel="0" collapsed="false">
      <c r="D53" s="14" t="n">
        <f aca="false">E53/I53</f>
        <v>0.58125</v>
      </c>
      <c r="E53" s="15" t="n">
        <f aca="false">1000000000*(F53+G53)/2</f>
        <v>465</v>
      </c>
      <c r="F53" s="44" t="n">
        <v>4E-007</v>
      </c>
      <c r="G53" s="45" t="n">
        <v>5.3E-007</v>
      </c>
      <c r="H53" s="39" t="n">
        <v>1</v>
      </c>
      <c r="I53" s="19" t="n">
        <v>800</v>
      </c>
      <c r="J53" s="70" t="n">
        <v>0.045</v>
      </c>
      <c r="L53" s="23"/>
      <c r="N53" s="19" t="s">
        <v>108</v>
      </c>
      <c r="U53" s="22" t="n">
        <f aca="false">T53/2</f>
        <v>0</v>
      </c>
      <c r="Z53" s="40" t="s">
        <v>161</v>
      </c>
      <c r="AA53" s="19" t="s">
        <v>162</v>
      </c>
      <c r="AB53" s="41" t="n">
        <v>2011</v>
      </c>
      <c r="AC53" s="40" t="s">
        <v>122</v>
      </c>
      <c r="AH53" s="19" t="n">
        <v>1.35</v>
      </c>
      <c r="AO53" s="40"/>
      <c r="AX53" s="41"/>
    </row>
    <row r="54" customFormat="false" ht="15" hidden="false" customHeight="true" outlineLevel="0" collapsed="false">
      <c r="D54" s="14" t="n">
        <f aca="false">E54/I54</f>
        <v>0.33125</v>
      </c>
      <c r="E54" s="15" t="n">
        <f aca="false">1000000000*(F54+G54)/2</f>
        <v>265</v>
      </c>
      <c r="F54" s="44" t="n">
        <v>2.5E-007</v>
      </c>
      <c r="G54" s="45" t="n">
        <v>2.8E-007</v>
      </c>
      <c r="H54" s="39" t="n">
        <v>1</v>
      </c>
      <c r="I54" s="19" t="n">
        <v>800</v>
      </c>
      <c r="J54" s="70" t="n">
        <v>0.045</v>
      </c>
      <c r="L54" s="23"/>
      <c r="N54" s="19" t="s">
        <v>108</v>
      </c>
      <c r="U54" s="22" t="n">
        <f aca="false">T54/2</f>
        <v>0</v>
      </c>
      <c r="Z54" s="40" t="s">
        <v>161</v>
      </c>
      <c r="AA54" s="19" t="s">
        <v>162</v>
      </c>
      <c r="AB54" s="41" t="n">
        <v>2011</v>
      </c>
      <c r="AC54" s="40" t="s">
        <v>165</v>
      </c>
      <c r="AH54" s="19" t="n">
        <v>3.4</v>
      </c>
      <c r="AO54" s="40"/>
      <c r="AX54" s="41"/>
    </row>
    <row r="55" customFormat="false" ht="15" hidden="false" customHeight="true" outlineLevel="0" collapsed="false">
      <c r="D55" s="14" t="n">
        <f aca="false">E55/I55</f>
        <v>0.2125</v>
      </c>
      <c r="E55" s="15" t="n">
        <f aca="false">1000000000*(F55+G55)/2</f>
        <v>170</v>
      </c>
      <c r="F55" s="44" t="n">
        <v>1.6E-007</v>
      </c>
      <c r="G55" s="45" t="n">
        <v>1.8E-007</v>
      </c>
      <c r="H55" s="39" t="n">
        <v>1</v>
      </c>
      <c r="I55" s="19" t="n">
        <v>800</v>
      </c>
      <c r="J55" s="70" t="n">
        <v>0.045</v>
      </c>
      <c r="L55" s="23"/>
      <c r="N55" s="19" t="s">
        <v>108</v>
      </c>
      <c r="U55" s="22" t="n">
        <f aca="false">T55/2</f>
        <v>0</v>
      </c>
      <c r="Z55" s="40" t="s">
        <v>161</v>
      </c>
      <c r="AA55" s="19" t="s">
        <v>162</v>
      </c>
      <c r="AB55" s="41" t="n">
        <v>2011</v>
      </c>
      <c r="AC55" s="40" t="s">
        <v>166</v>
      </c>
      <c r="AH55" s="19" t="n">
        <v>3.37</v>
      </c>
      <c r="AO55" s="40"/>
      <c r="AX55" s="41"/>
    </row>
    <row r="56" customFormat="false" ht="15" hidden="false" customHeight="true" outlineLevel="0" collapsed="false">
      <c r="D56" s="14" t="n">
        <f aca="false">E56/I56</f>
        <v>0.110625</v>
      </c>
      <c r="E56" s="15" t="n">
        <f aca="false">1000000000*(F56+G56)/2</f>
        <v>88.5</v>
      </c>
      <c r="F56" s="44" t="n">
        <v>8.3E-008</v>
      </c>
      <c r="G56" s="45" t="n">
        <v>9.4E-008</v>
      </c>
      <c r="H56" s="39" t="n">
        <v>1</v>
      </c>
      <c r="I56" s="19" t="n">
        <v>800</v>
      </c>
      <c r="J56" s="70" t="n">
        <v>0.045</v>
      </c>
      <c r="L56" s="23"/>
      <c r="N56" s="19" t="s">
        <v>108</v>
      </c>
      <c r="U56" s="22" t="n">
        <f aca="false">T56/2</f>
        <v>0</v>
      </c>
      <c r="Z56" s="40" t="s">
        <v>161</v>
      </c>
      <c r="AA56" s="19" t="s">
        <v>162</v>
      </c>
      <c r="AB56" s="41" t="n">
        <v>2011</v>
      </c>
      <c r="AC56" s="40" t="s">
        <v>166</v>
      </c>
      <c r="AH56" s="19" t="n">
        <v>3.37</v>
      </c>
      <c r="AO56" s="40"/>
      <c r="AX56" s="41"/>
    </row>
    <row r="57" customFormat="false" ht="15" hidden="false" customHeight="true" outlineLevel="0" collapsed="false">
      <c r="D57" s="14" t="n">
        <f aca="false">E57/I57</f>
        <v>0.88125</v>
      </c>
      <c r="E57" s="15" t="n">
        <f aca="false">1000000000*(F57+G57)/2</f>
        <v>705</v>
      </c>
      <c r="F57" s="44" t="n">
        <v>6.1E-007</v>
      </c>
      <c r="G57" s="45" t="n">
        <v>8E-007</v>
      </c>
      <c r="H57" s="39" t="n">
        <v>1</v>
      </c>
      <c r="I57" s="19" t="n">
        <v>800</v>
      </c>
      <c r="J57" s="70" t="n">
        <v>0.045</v>
      </c>
      <c r="L57" s="23"/>
      <c r="N57" s="19" t="s">
        <v>108</v>
      </c>
      <c r="U57" s="22" t="n">
        <f aca="false">T57/2</f>
        <v>0</v>
      </c>
      <c r="Z57" s="40" t="s">
        <v>161</v>
      </c>
      <c r="AA57" s="19" t="s">
        <v>162</v>
      </c>
      <c r="AB57" s="41" t="n">
        <v>2011</v>
      </c>
      <c r="AC57" s="40" t="s">
        <v>122</v>
      </c>
      <c r="AH57" s="19" t="n">
        <v>1.35</v>
      </c>
      <c r="AO57" s="40"/>
      <c r="AX57" s="41"/>
    </row>
    <row r="58" customFormat="false" ht="15" hidden="false" customHeight="true" outlineLevel="0" collapsed="false">
      <c r="D58" s="14" t="n">
        <f aca="false">E58/I58</f>
        <v>0.2375</v>
      </c>
      <c r="E58" s="15" t="n">
        <f aca="false">1000000000*(F58+G58)/2</f>
        <v>190</v>
      </c>
      <c r="F58" s="44" t="n">
        <v>1.9E-007</v>
      </c>
      <c r="G58" s="45" t="n">
        <v>1.9E-007</v>
      </c>
      <c r="H58" s="39" t="n">
        <v>1</v>
      </c>
      <c r="I58" s="19" t="n">
        <v>800</v>
      </c>
      <c r="J58" s="70" t="n">
        <v>0.045</v>
      </c>
      <c r="L58" s="23"/>
      <c r="N58" s="19" t="s">
        <v>108</v>
      </c>
      <c r="U58" s="22" t="n">
        <f aca="false">T58/2</f>
        <v>0</v>
      </c>
      <c r="Z58" s="40" t="s">
        <v>161</v>
      </c>
      <c r="AA58" s="19" t="s">
        <v>162</v>
      </c>
      <c r="AB58" s="41" t="n">
        <v>2011</v>
      </c>
      <c r="AC58" s="40" t="s">
        <v>163</v>
      </c>
      <c r="AH58" s="19" t="n">
        <v>2.3</v>
      </c>
      <c r="AO58" s="40"/>
      <c r="AX58" s="41"/>
    </row>
    <row r="59" customFormat="false" ht="15" hidden="false" customHeight="true" outlineLevel="0" collapsed="false">
      <c r="A59" s="14" t="n">
        <v>1</v>
      </c>
      <c r="B59" s="0"/>
      <c r="C59" s="0"/>
      <c r="D59" s="14" t="n">
        <f aca="false">E59/I59</f>
        <v>1.5875</v>
      </c>
      <c r="E59" s="15" t="n">
        <f aca="false">1000000000*(F59+G59)/2</f>
        <v>635</v>
      </c>
      <c r="F59" s="44" t="n">
        <v>6.2E-007</v>
      </c>
      <c r="G59" s="45" t="n">
        <v>6.5E-007</v>
      </c>
      <c r="H59" s="39" t="n">
        <v>1</v>
      </c>
      <c r="I59" s="19" t="n">
        <v>400</v>
      </c>
      <c r="J59" s="70" t="n">
        <v>0.15</v>
      </c>
      <c r="K59" s="0"/>
      <c r="M59" s="0"/>
      <c r="N59" s="19" t="n">
        <v>50</v>
      </c>
      <c r="O59" s="0"/>
      <c r="P59" s="0"/>
      <c r="Q59" s="0"/>
      <c r="R59" s="0"/>
      <c r="S59" s="0"/>
      <c r="T59" s="0"/>
      <c r="U59" s="22" t="n">
        <f aca="false">T59/2</f>
        <v>0</v>
      </c>
      <c r="V59" s="0"/>
      <c r="W59" s="0"/>
      <c r="X59" s="0"/>
      <c r="Y59" s="0"/>
      <c r="Z59" s="40" t="s">
        <v>167</v>
      </c>
      <c r="AA59" s="19" t="s">
        <v>168</v>
      </c>
      <c r="AB59" s="41" t="n">
        <v>2004</v>
      </c>
      <c r="AC59" s="40" t="s">
        <v>169</v>
      </c>
      <c r="AD59" s="0"/>
      <c r="AE59" s="0"/>
      <c r="AF59" s="0"/>
      <c r="AG59" s="0"/>
      <c r="AH59" s="19" t="n">
        <v>9</v>
      </c>
      <c r="AI59" s="0"/>
      <c r="AJ59" s="0"/>
      <c r="AK59" s="0"/>
      <c r="AL59" s="0"/>
      <c r="AM59" s="0"/>
      <c r="AN59" s="0"/>
      <c r="AO59" s="40" t="n">
        <v>1000</v>
      </c>
      <c r="AP59" s="0"/>
      <c r="AQ59" s="0"/>
      <c r="AR59" s="0"/>
      <c r="AS59" s="0"/>
      <c r="AT59" s="0"/>
      <c r="AU59" s="0"/>
      <c r="AV59" s="0"/>
      <c r="AW59" s="19" t="s">
        <v>117</v>
      </c>
      <c r="AX59" s="41" t="n">
        <v>90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5" hidden="false" customHeight="true" outlineLevel="0" collapsed="false">
      <c r="A60" s="0"/>
      <c r="B60" s="0"/>
      <c r="C60" s="0"/>
      <c r="D60" s="14" t="n">
        <f aca="false">E60/I60</f>
        <v>1.5875</v>
      </c>
      <c r="E60" s="15" t="n">
        <f aca="false">1000000000*(F60+G60)/2</f>
        <v>635</v>
      </c>
      <c r="F60" s="44" t="n">
        <v>5.7E-007</v>
      </c>
      <c r="G60" s="45" t="n">
        <v>7E-007</v>
      </c>
      <c r="H60" s="39" t="n">
        <v>1</v>
      </c>
      <c r="I60" s="19" t="n">
        <v>400</v>
      </c>
      <c r="J60" s="70" t="n">
        <v>0.15</v>
      </c>
      <c r="K60" s="0"/>
      <c r="M60" s="0"/>
      <c r="N60" s="19" t="n">
        <v>100</v>
      </c>
      <c r="O60" s="0"/>
      <c r="P60" s="0"/>
      <c r="Q60" s="0"/>
      <c r="R60" s="0"/>
      <c r="S60" s="0"/>
      <c r="T60" s="0"/>
      <c r="U60" s="22" t="n">
        <f aca="false">T60/2</f>
        <v>0</v>
      </c>
      <c r="V60" s="0"/>
      <c r="W60" s="0"/>
      <c r="X60" s="0"/>
      <c r="Y60" s="0"/>
      <c r="Z60" s="40" t="s">
        <v>167</v>
      </c>
      <c r="AA60" s="19" t="s">
        <v>168</v>
      </c>
      <c r="AB60" s="41" t="n">
        <v>2004</v>
      </c>
      <c r="AC60" s="40" t="s">
        <v>169</v>
      </c>
      <c r="AD60" s="0"/>
      <c r="AE60" s="0"/>
      <c r="AF60" s="0"/>
      <c r="AG60" s="0"/>
      <c r="AH60" s="19" t="n">
        <v>9</v>
      </c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19" t="s">
        <v>117</v>
      </c>
      <c r="AX60" s="41" t="n">
        <v>90</v>
      </c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4.4" hidden="false" customHeight="false" outlineLevel="0" collapsed="false">
      <c r="A61" s="14" t="n">
        <f aca="false">+M61*J61*0.000000000001</f>
        <v>0.192</v>
      </c>
      <c r="B61" s="0"/>
      <c r="C61" s="0"/>
      <c r="D61" s="14" t="n">
        <f aca="false">E61/I61</f>
        <v>0.93125</v>
      </c>
      <c r="E61" s="15" t="n">
        <f aca="false">(G61+F61)/2/H61</f>
        <v>745</v>
      </c>
      <c r="F61" s="44" t="n">
        <v>690</v>
      </c>
      <c r="G61" s="45" t="n">
        <v>800</v>
      </c>
      <c r="H61" s="39" t="n">
        <v>1</v>
      </c>
      <c r="I61" s="19" t="n">
        <v>800</v>
      </c>
      <c r="J61" s="70" t="n">
        <v>0.12</v>
      </c>
      <c r="K61" s="0"/>
      <c r="M61" s="20" t="n">
        <v>1600000000000</v>
      </c>
      <c r="N61" s="19" t="n">
        <v>10000</v>
      </c>
      <c r="O61" s="0"/>
      <c r="P61" s="0"/>
      <c r="Q61" s="70" t="n">
        <f aca="false">M61*N61</f>
        <v>16000000000000000</v>
      </c>
      <c r="R61" s="0"/>
      <c r="S61" s="65" t="n">
        <f aca="false">(G61-F61)/4/H61</f>
        <v>27.5</v>
      </c>
      <c r="T61" s="22" t="n">
        <f aca="false">(G61-F61)/(2*E61)</f>
        <v>0.0738255033557047</v>
      </c>
      <c r="U61" s="22" t="n">
        <f aca="false">T61/2</f>
        <v>0.0369127516778524</v>
      </c>
      <c r="V61" s="0"/>
      <c r="W61" s="0"/>
      <c r="X61" s="0"/>
      <c r="Y61" s="0"/>
      <c r="Z61" s="40" t="s">
        <v>170</v>
      </c>
      <c r="AA61" s="19" t="s">
        <v>171</v>
      </c>
      <c r="AB61" s="41" t="n">
        <v>2004</v>
      </c>
      <c r="AC61" s="40" t="s">
        <v>110</v>
      </c>
      <c r="AD61" s="0"/>
      <c r="AE61" s="0"/>
      <c r="AF61" s="0"/>
      <c r="AG61" s="19" t="s">
        <v>148</v>
      </c>
      <c r="AH61" s="19" t="n">
        <v>1.12</v>
      </c>
      <c r="AI61" s="19" t="n">
        <v>100</v>
      </c>
      <c r="AJ61" s="0"/>
      <c r="AK61" s="0"/>
      <c r="AL61" s="0"/>
      <c r="AM61" s="19" t="s">
        <v>131</v>
      </c>
      <c r="AN61" s="0"/>
      <c r="AO61" s="40" t="n">
        <v>1000</v>
      </c>
      <c r="AP61" s="0"/>
      <c r="AQ61" s="0"/>
      <c r="AR61" s="0"/>
      <c r="AS61" s="0"/>
      <c r="AT61" s="0"/>
      <c r="AU61" s="0"/>
      <c r="AV61" s="0"/>
      <c r="AW61" s="19" t="s">
        <v>117</v>
      </c>
      <c r="AX61" s="41" t="n">
        <v>0</v>
      </c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4.4" hidden="false" customHeight="false" outlineLevel="0" collapsed="false">
      <c r="A62" s="0"/>
      <c r="B62" s="0"/>
      <c r="C62" s="0"/>
      <c r="D62" s="14" t="n">
        <f aca="false">E62/I62</f>
        <v>0.825</v>
      </c>
      <c r="E62" s="15" t="n">
        <f aca="false">(F62+G62)/2</f>
        <v>660</v>
      </c>
      <c r="F62" s="44" t="n">
        <f aca="false">0.000000061*10000000000</f>
        <v>610</v>
      </c>
      <c r="G62" s="45" t="n">
        <f aca="false">0.00000071*1000000000</f>
        <v>710</v>
      </c>
      <c r="H62" s="39" t="n">
        <v>1</v>
      </c>
      <c r="I62" s="19" t="n">
        <v>800</v>
      </c>
      <c r="J62" s="70" t="n">
        <v>0.12</v>
      </c>
      <c r="K62" s="0"/>
      <c r="M62" s="20" t="n">
        <v>1600000000000</v>
      </c>
      <c r="N62" s="19" t="n">
        <v>20000</v>
      </c>
      <c r="O62" s="0"/>
      <c r="P62" s="0"/>
      <c r="Q62" s="70" t="n">
        <f aca="false">M62*N62</f>
        <v>32000000000000000</v>
      </c>
      <c r="R62" s="0"/>
      <c r="S62" s="65" t="n">
        <f aca="false">(G62-F62)/4/H62</f>
        <v>25</v>
      </c>
      <c r="T62" s="22" t="n">
        <f aca="false">(G62-F62)/(2*E62)</f>
        <v>0.0757575757575758</v>
      </c>
      <c r="U62" s="22" t="n">
        <f aca="false">T62/2</f>
        <v>0.0378787878787879</v>
      </c>
      <c r="V62" s="0"/>
      <c r="W62" s="0"/>
      <c r="X62" s="0"/>
      <c r="Y62" s="0"/>
      <c r="Z62" s="40" t="s">
        <v>170</v>
      </c>
      <c r="AA62" s="19" t="s">
        <v>171</v>
      </c>
      <c r="AB62" s="41" t="n">
        <v>2004</v>
      </c>
      <c r="AC62" s="40" t="s">
        <v>110</v>
      </c>
      <c r="AD62" s="0"/>
      <c r="AE62" s="0"/>
      <c r="AF62" s="0"/>
      <c r="AG62" s="19" t="s">
        <v>148</v>
      </c>
      <c r="AH62" s="19" t="n">
        <v>1.12</v>
      </c>
      <c r="AI62" s="19" t="n">
        <v>100</v>
      </c>
      <c r="AJ62" s="0"/>
      <c r="AK62" s="0"/>
      <c r="AL62" s="0"/>
      <c r="AM62" s="19" t="s">
        <v>131</v>
      </c>
      <c r="AN62" s="0"/>
      <c r="AO62" s="40" t="n">
        <v>1000</v>
      </c>
      <c r="AP62" s="0"/>
      <c r="AQ62" s="0"/>
      <c r="AR62" s="0"/>
      <c r="AS62" s="0"/>
      <c r="AT62" s="0"/>
      <c r="AU62" s="0"/>
      <c r="AV62" s="0"/>
      <c r="AW62" s="19" t="s">
        <v>117</v>
      </c>
      <c r="AX62" s="41" t="n">
        <v>0</v>
      </c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4.4" hidden="false" customHeight="false" outlineLevel="0" collapsed="false">
      <c r="A63" s="14" t="n">
        <f aca="false">+M63*J63*0.000000000001</f>
        <v>0.48</v>
      </c>
      <c r="B63" s="0"/>
      <c r="C63" s="0"/>
      <c r="D63" s="14" t="n">
        <f aca="false">E63/I63</f>
        <v>0.25625</v>
      </c>
      <c r="E63" s="15" t="n">
        <f aca="false">(F63+G63)/2</f>
        <v>205</v>
      </c>
      <c r="F63" s="44" t="n">
        <f aca="false">0.00000019*1000000000</f>
        <v>190</v>
      </c>
      <c r="G63" s="45" t="n">
        <f aca="false">0.00000022*1000000000</f>
        <v>220</v>
      </c>
      <c r="H63" s="39" t="n">
        <v>1</v>
      </c>
      <c r="I63" s="19" t="n">
        <v>800</v>
      </c>
      <c r="J63" s="70" t="n">
        <v>0.12</v>
      </c>
      <c r="K63" s="0"/>
      <c r="M63" s="20" t="n">
        <v>4000000000000</v>
      </c>
      <c r="N63" s="19" t="n">
        <v>60000</v>
      </c>
      <c r="O63" s="0"/>
      <c r="P63" s="0"/>
      <c r="Q63" s="70" t="n">
        <f aca="false">M63*N63</f>
        <v>2.4E+017</v>
      </c>
      <c r="R63" s="0"/>
      <c r="S63" s="65" t="n">
        <f aca="false">(G63-F63)/4/H63</f>
        <v>7.5</v>
      </c>
      <c r="T63" s="22" t="n">
        <f aca="false">(G63-F63)/(2*E63)</f>
        <v>0.0731707317073171</v>
      </c>
      <c r="U63" s="22" t="n">
        <f aca="false">T63/2</f>
        <v>0.0365853658536585</v>
      </c>
      <c r="V63" s="0"/>
      <c r="W63" s="0"/>
      <c r="X63" s="0"/>
      <c r="Y63" s="0"/>
      <c r="Z63" s="40" t="s">
        <v>170</v>
      </c>
      <c r="AA63" s="19" t="s">
        <v>171</v>
      </c>
      <c r="AB63" s="41" t="n">
        <v>2004</v>
      </c>
      <c r="AC63" s="40" t="s">
        <v>110</v>
      </c>
      <c r="AD63" s="0"/>
      <c r="AE63" s="0"/>
      <c r="AF63" s="0"/>
      <c r="AG63" s="19" t="s">
        <v>148</v>
      </c>
      <c r="AH63" s="19" t="n">
        <v>1.12</v>
      </c>
      <c r="AI63" s="19" t="n">
        <v>100</v>
      </c>
      <c r="AJ63" s="0"/>
      <c r="AK63" s="0"/>
      <c r="AL63" s="0"/>
      <c r="AM63" s="19" t="s">
        <v>131</v>
      </c>
      <c r="AN63" s="0"/>
      <c r="AO63" s="40" t="n">
        <v>1000</v>
      </c>
      <c r="AP63" s="0"/>
      <c r="AQ63" s="0"/>
      <c r="AR63" s="0"/>
      <c r="AS63" s="0"/>
      <c r="AT63" s="0"/>
      <c r="AU63" s="0"/>
      <c r="AV63" s="0"/>
      <c r="AW63" s="19" t="s">
        <v>117</v>
      </c>
      <c r="AX63" s="41" t="n">
        <v>90</v>
      </c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19" t="n">
        <v>800</v>
      </c>
      <c r="J64" s="70" t="n">
        <v>0.17</v>
      </c>
      <c r="K64" s="0"/>
      <c r="M64" s="0"/>
      <c r="N64" s="0"/>
      <c r="O64" s="0"/>
      <c r="P64" s="0"/>
      <c r="Q64" s="0"/>
      <c r="R64" s="0"/>
      <c r="S64" s="0"/>
      <c r="T64" s="0"/>
      <c r="U64" s="22" t="n">
        <f aca="false">T64/2</f>
        <v>0</v>
      </c>
      <c r="V64" s="0"/>
      <c r="W64" s="0"/>
      <c r="X64" s="0"/>
      <c r="Y64" s="0"/>
      <c r="Z64" s="40" t="s">
        <v>172</v>
      </c>
      <c r="AA64" s="19" t="s">
        <v>173</v>
      </c>
      <c r="AB64" s="41" t="n">
        <v>2010</v>
      </c>
      <c r="AC64" s="40" t="s">
        <v>174</v>
      </c>
      <c r="AD64" s="0"/>
      <c r="AE64" s="0"/>
      <c r="AF64" s="0"/>
      <c r="AG64" s="0"/>
      <c r="AH64" s="19" t="n">
        <v>8</v>
      </c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41" t="n">
        <v>90</v>
      </c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5" hidden="false" customHeight="true" outlineLevel="0" collapsed="false">
      <c r="A65" s="14" t="n">
        <v>8.2</v>
      </c>
      <c r="B65" s="0"/>
      <c r="C65" s="0"/>
      <c r="D65" s="14" t="n">
        <f aca="false">E65/I65</f>
        <v>3.06451612903226</v>
      </c>
      <c r="E65" s="15" t="n">
        <f aca="false">(G65+F65)/2/H65</f>
        <v>760</v>
      </c>
      <c r="F65" s="38" t="n">
        <v>710</v>
      </c>
      <c r="G65" s="17" t="n">
        <v>810</v>
      </c>
      <c r="H65" s="39" t="n">
        <v>1</v>
      </c>
      <c r="I65" s="19" t="n">
        <v>248</v>
      </c>
      <c r="J65" s="19" t="n">
        <v>0.5</v>
      </c>
      <c r="K65" s="0"/>
      <c r="M65" s="20" t="n">
        <f aca="false">0.0001*A65*10000/(J65*0.000000000001)</f>
        <v>16400000000000</v>
      </c>
      <c r="N65" s="19" t="n">
        <v>70</v>
      </c>
      <c r="O65" s="0"/>
      <c r="P65" s="0"/>
      <c r="Q65" s="53" t="n">
        <f aca="false">M65*N65</f>
        <v>1148000000000000</v>
      </c>
      <c r="R65" s="21" t="n">
        <f aca="false">A65*N65</f>
        <v>574</v>
      </c>
      <c r="S65" s="0"/>
      <c r="T65" s="22" t="n">
        <f aca="false">(G65-F65)/H65/E65</f>
        <v>0.131578947368421</v>
      </c>
      <c r="U65" s="22" t="n">
        <f aca="false">T65/2</f>
        <v>0.0657894736842105</v>
      </c>
      <c r="V65" s="0"/>
      <c r="W65" s="0"/>
      <c r="X65" s="0"/>
      <c r="Y65" s="0"/>
      <c r="Z65" s="40" t="s">
        <v>132</v>
      </c>
      <c r="AA65" s="19" t="s">
        <v>175</v>
      </c>
      <c r="AB65" s="41" t="n">
        <v>1992</v>
      </c>
      <c r="AC65" s="40" t="s">
        <v>174</v>
      </c>
      <c r="AD65" s="0"/>
      <c r="AE65" s="0"/>
      <c r="AF65" s="0"/>
      <c r="AG65" s="0"/>
      <c r="AH65" s="19" t="n">
        <v>8</v>
      </c>
      <c r="AI65" s="0"/>
      <c r="AJ65" s="0"/>
      <c r="AK65" s="0"/>
      <c r="AL65" s="0"/>
      <c r="AM65" s="19" t="s">
        <v>116</v>
      </c>
      <c r="AN65" s="0"/>
      <c r="AO65" s="0"/>
      <c r="AP65" s="0"/>
      <c r="AQ65" s="0"/>
      <c r="AR65" s="0"/>
      <c r="AS65" s="0"/>
      <c r="AT65" s="0"/>
      <c r="AU65" s="19" t="n">
        <v>0</v>
      </c>
      <c r="AV65" s="19" t="s">
        <v>52</v>
      </c>
      <c r="AW65" s="19" t="s">
        <v>52</v>
      </c>
      <c r="AX65" s="41" t="s">
        <v>52</v>
      </c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4.4" hidden="false" customHeight="false" outlineLevel="0" collapsed="false">
      <c r="A66" s="14" t="n">
        <v>0.24</v>
      </c>
      <c r="B66" s="0"/>
      <c r="C66" s="0"/>
      <c r="D66" s="14" t="n">
        <f aca="false">E66/I66</f>
        <v>0.19875</v>
      </c>
      <c r="E66" s="15" t="n">
        <f aca="false">1000000000*(F66+G66)/2</f>
        <v>159</v>
      </c>
      <c r="F66" s="44" t="n">
        <v>1.55E-007</v>
      </c>
      <c r="G66" s="45" t="n">
        <v>1.63E-007</v>
      </c>
      <c r="H66" s="39" t="n">
        <v>10</v>
      </c>
      <c r="I66" s="19" t="n">
        <v>800</v>
      </c>
      <c r="J66" s="19" t="n">
        <v>0.13</v>
      </c>
      <c r="K66" s="0"/>
      <c r="M66" s="20" t="n">
        <f aca="false">A66/(J66*0.000000000001)</f>
        <v>1846153846153.85</v>
      </c>
      <c r="N66" s="19" t="n">
        <v>5</v>
      </c>
      <c r="O66" s="0"/>
      <c r="P66" s="0"/>
      <c r="Q66" s="19" t="n">
        <f aca="false">M66*N66</f>
        <v>9230769230769.23</v>
      </c>
      <c r="R66" s="0"/>
      <c r="S66" s="0"/>
      <c r="T66" s="22" t="n">
        <f aca="false">(G66-F66)/H66/(E66*0.000000001)</f>
        <v>0.0050314465408805</v>
      </c>
      <c r="U66" s="22" t="n">
        <f aca="false">T66/2</f>
        <v>0.00251572327044025</v>
      </c>
      <c r="V66" s="0"/>
      <c r="W66" s="0"/>
      <c r="X66" s="0"/>
      <c r="Y66" s="0"/>
      <c r="Z66" s="40" t="s">
        <v>113</v>
      </c>
      <c r="AA66" s="19" t="s">
        <v>176</v>
      </c>
      <c r="AB66" s="41" t="n">
        <v>2005</v>
      </c>
      <c r="AC66" s="40" t="s">
        <v>122</v>
      </c>
      <c r="AD66" s="0"/>
      <c r="AE66" s="0"/>
      <c r="AF66" s="0"/>
      <c r="AG66" s="19" t="s">
        <v>148</v>
      </c>
      <c r="AH66" s="0"/>
      <c r="AI66" s="0"/>
      <c r="AJ66" s="0"/>
      <c r="AK66" s="0"/>
      <c r="AL66" s="0"/>
      <c r="AM66" s="19" t="s">
        <v>116</v>
      </c>
      <c r="AN66" s="0"/>
      <c r="AO66" s="0"/>
      <c r="AP66" s="0"/>
      <c r="AQ66" s="0"/>
      <c r="AR66" s="0"/>
      <c r="AS66" s="0"/>
      <c r="AT66" s="0"/>
      <c r="AU66" s="0"/>
      <c r="AV66" s="0"/>
      <c r="AW66" s="19" t="s">
        <v>117</v>
      </c>
      <c r="AX66" s="41" t="n">
        <v>0</v>
      </c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4.4" hidden="false" customHeight="false" outlineLevel="0" collapsed="false">
      <c r="A67" s="79"/>
      <c r="B67" s="79"/>
      <c r="C67" s="79"/>
      <c r="D67" s="14" t="n">
        <f aca="false">E67/I67</f>
        <v>0.815018315018315</v>
      </c>
      <c r="E67" s="15" t="n">
        <f aca="false">(G67+F67)/2/H67</f>
        <v>317.857142857143</v>
      </c>
      <c r="F67" s="17" t="n">
        <v>2150</v>
      </c>
      <c r="G67" s="17" t="n">
        <v>2300</v>
      </c>
      <c r="H67" s="39" t="n">
        <v>7</v>
      </c>
      <c r="I67" s="19" t="n">
        <v>390</v>
      </c>
      <c r="J67" s="19" t="n">
        <v>0.15</v>
      </c>
      <c r="K67" s="0"/>
      <c r="M67" s="20" t="n">
        <v>1060000</v>
      </c>
      <c r="N67" s="19" t="n">
        <v>760000000</v>
      </c>
      <c r="O67" s="0"/>
      <c r="P67" s="0"/>
      <c r="Q67" s="19" t="n">
        <f aca="false">M67*N67</f>
        <v>805600000000000</v>
      </c>
      <c r="R67" s="0"/>
      <c r="S67" s="0"/>
      <c r="T67" s="0"/>
      <c r="U67" s="0"/>
      <c r="V67" s="0"/>
      <c r="W67" s="0"/>
      <c r="X67" s="0"/>
      <c r="Y67" s="0"/>
      <c r="Z67" s="40" t="s">
        <v>177</v>
      </c>
      <c r="AA67" s="19" t="s">
        <v>178</v>
      </c>
      <c r="AB67" s="41" t="n">
        <v>2015</v>
      </c>
      <c r="AC67" s="40" t="s">
        <v>179</v>
      </c>
      <c r="AD67" s="19" t="s">
        <v>110</v>
      </c>
      <c r="AE67" s="19" t="n">
        <v>0.13</v>
      </c>
      <c r="AF67" s="19" t="n">
        <v>13</v>
      </c>
      <c r="AG67" s="0"/>
      <c r="AH67" s="0"/>
      <c r="AI67" s="19" t="n">
        <v>100</v>
      </c>
      <c r="AJ67" s="0"/>
      <c r="AK67" s="0"/>
      <c r="AL67" s="19" t="s">
        <v>108</v>
      </c>
      <c r="AM67" s="0"/>
      <c r="AN67" s="0"/>
      <c r="AO67" s="0"/>
      <c r="AP67" s="0"/>
      <c r="AQ67" s="19" t="s">
        <v>108</v>
      </c>
      <c r="AR67" s="19" t="s">
        <v>108</v>
      </c>
      <c r="AS67" s="19" t="s">
        <v>108</v>
      </c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4.4" hidden="false" customHeight="false" outlineLevel="0" collapsed="false">
      <c r="A68" s="80" t="n">
        <f aca="false">(B68/83)*100</f>
        <v>0.168674698795181</v>
      </c>
      <c r="B68" s="79" t="n">
        <v>0.14</v>
      </c>
      <c r="C68" s="79"/>
      <c r="D68" s="14" t="n">
        <f aca="false">E68/I68</f>
        <v>0.794871794871795</v>
      </c>
      <c r="E68" s="15" t="n">
        <v>310</v>
      </c>
      <c r="F68" s="38" t="n">
        <v>290</v>
      </c>
      <c r="G68" s="17" t="n">
        <v>330</v>
      </c>
      <c r="H68" s="81" t="n">
        <v>1</v>
      </c>
      <c r="I68" s="19" t="n">
        <v>390</v>
      </c>
      <c r="J68" s="19" t="n">
        <v>0.15</v>
      </c>
      <c r="K68" s="0"/>
      <c r="M68" s="82"/>
      <c r="N68" s="19" t="n">
        <v>152000000</v>
      </c>
      <c r="O68" s="19" t="n">
        <v>0</v>
      </c>
      <c r="P68" s="0"/>
      <c r="Q68" s="64" t="n">
        <f aca="false">M68*N68</f>
        <v>0</v>
      </c>
      <c r="R68" s="65" t="n">
        <f aca="false">A68*N68</f>
        <v>25638554.2168675</v>
      </c>
      <c r="S68" s="65"/>
      <c r="T68" s="83"/>
      <c r="U68" s="83"/>
      <c r="V68" s="0"/>
      <c r="W68" s="0"/>
      <c r="X68" s="0"/>
      <c r="Y68" s="0"/>
      <c r="Z68" s="40" t="s">
        <v>177</v>
      </c>
      <c r="AA68" s="19" t="s">
        <v>178</v>
      </c>
      <c r="AB68" s="41" t="n">
        <v>2015</v>
      </c>
      <c r="AC68" s="40" t="s">
        <v>179</v>
      </c>
      <c r="AD68" s="19" t="s">
        <v>110</v>
      </c>
      <c r="AE68" s="19" t="n">
        <v>0.13</v>
      </c>
      <c r="AF68" s="19" t="n">
        <v>13</v>
      </c>
      <c r="AG68" s="0"/>
      <c r="AH68" s="0"/>
      <c r="AI68" s="19" t="n">
        <v>100</v>
      </c>
      <c r="AJ68" s="0"/>
      <c r="AK68" s="0"/>
      <c r="AL68" s="19" t="s">
        <v>108</v>
      </c>
      <c r="AM68" s="0"/>
      <c r="AN68" s="0"/>
      <c r="AO68" s="0"/>
      <c r="AP68" s="0"/>
      <c r="AQ68" s="19" t="s">
        <v>108</v>
      </c>
      <c r="AR68" s="19" t="s">
        <v>108</v>
      </c>
      <c r="AS68" s="19" t="s">
        <v>108</v>
      </c>
      <c r="AT68" s="0"/>
      <c r="AU68" s="19" t="n">
        <v>0</v>
      </c>
      <c r="AV68" s="0"/>
      <c r="AW68" s="19" t="s">
        <v>117</v>
      </c>
      <c r="AX68" s="41" t="n">
        <v>0</v>
      </c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4.4" hidden="false" customHeight="false" outlineLevel="0" collapsed="false">
      <c r="A69" s="80" t="n">
        <f aca="false">(B69/83)*100</f>
        <v>0.163855421686747</v>
      </c>
      <c r="B69" s="80" t="n">
        <v>0.136</v>
      </c>
      <c r="C69" s="80"/>
      <c r="D69" s="14" t="n">
        <f aca="false">E69/I69</f>
        <v>0.805128205128205</v>
      </c>
      <c r="E69" s="15" t="n">
        <v>314</v>
      </c>
      <c r="F69" s="38" t="n">
        <v>294</v>
      </c>
      <c r="G69" s="17" t="n">
        <v>334</v>
      </c>
      <c r="H69" s="81" t="n">
        <v>1</v>
      </c>
      <c r="I69" s="19" t="n">
        <v>390</v>
      </c>
      <c r="J69" s="19" t="n">
        <v>0.15</v>
      </c>
      <c r="K69" s="0"/>
      <c r="M69" s="82"/>
      <c r="N69" s="19" t="n">
        <v>760000000</v>
      </c>
      <c r="O69" s="19" t="n">
        <v>0</v>
      </c>
      <c r="P69" s="0"/>
      <c r="Q69" s="64" t="n">
        <f aca="false">M69*N69</f>
        <v>0</v>
      </c>
      <c r="R69" s="65" t="n">
        <f aca="false">A69*N69</f>
        <v>124530120.481928</v>
      </c>
      <c r="S69" s="65"/>
      <c r="T69" s="83"/>
      <c r="U69" s="83"/>
      <c r="V69" s="0"/>
      <c r="W69" s="0"/>
      <c r="X69" s="0"/>
      <c r="Y69" s="0"/>
      <c r="Z69" s="40" t="s">
        <v>177</v>
      </c>
      <c r="AA69" s="19" t="s">
        <v>178</v>
      </c>
      <c r="AB69" s="41" t="n">
        <v>2015</v>
      </c>
      <c r="AC69" s="40" t="s">
        <v>179</v>
      </c>
      <c r="AD69" s="19" t="s">
        <v>110</v>
      </c>
      <c r="AE69" s="19" t="n">
        <v>0.13</v>
      </c>
      <c r="AF69" s="19" t="n">
        <v>13</v>
      </c>
      <c r="AG69" s="0"/>
      <c r="AH69" s="0"/>
      <c r="AI69" s="19" t="n">
        <v>100</v>
      </c>
      <c r="AJ69" s="0"/>
      <c r="AK69" s="0"/>
      <c r="AL69" s="19" t="s">
        <v>108</v>
      </c>
      <c r="AM69" s="0"/>
      <c r="AN69" s="0"/>
      <c r="AO69" s="0"/>
      <c r="AP69" s="0"/>
      <c r="AQ69" s="19" t="s">
        <v>108</v>
      </c>
      <c r="AR69" s="19" t="s">
        <v>108</v>
      </c>
      <c r="AS69" s="19" t="s">
        <v>108</v>
      </c>
      <c r="AT69" s="0"/>
      <c r="AU69" s="19" t="n">
        <v>0</v>
      </c>
      <c r="AV69" s="0"/>
      <c r="AW69" s="19" t="s">
        <v>117</v>
      </c>
      <c r="AX69" s="41" t="n">
        <v>0</v>
      </c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4.4" hidden="false" customHeight="false" outlineLevel="0" collapsed="false">
      <c r="A70" s="80" t="n">
        <f aca="false">(B70/83)*100</f>
        <v>0.168674698795181</v>
      </c>
      <c r="B70" s="79" t="n">
        <v>0.14</v>
      </c>
      <c r="C70" s="79"/>
      <c r="D70" s="14" t="n">
        <f aca="false">E70/I70</f>
        <v>0.82051282051282</v>
      </c>
      <c r="E70" s="15" t="n">
        <v>320</v>
      </c>
      <c r="F70" s="38" t="n">
        <v>300</v>
      </c>
      <c r="G70" s="17" t="n">
        <v>340</v>
      </c>
      <c r="H70" s="81" t="n">
        <v>1</v>
      </c>
      <c r="I70" s="19" t="n">
        <v>390</v>
      </c>
      <c r="J70" s="19" t="n">
        <v>0.15</v>
      </c>
      <c r="K70" s="0"/>
      <c r="M70" s="82"/>
      <c r="N70" s="64" t="n">
        <v>23000000000</v>
      </c>
      <c r="O70" s="64" t="n">
        <v>5E-006</v>
      </c>
      <c r="P70" s="64"/>
      <c r="Q70" s="64" t="n">
        <f aca="false">M70*N70</f>
        <v>0</v>
      </c>
      <c r="R70" s="65" t="n">
        <f aca="false">A70*N70</f>
        <v>3879518072.28916</v>
      </c>
      <c r="S70" s="65"/>
      <c r="T70" s="83"/>
      <c r="U70" s="83"/>
      <c r="V70" s="0"/>
      <c r="W70" s="0"/>
      <c r="X70" s="0"/>
      <c r="Y70" s="0"/>
      <c r="Z70" s="40" t="s">
        <v>177</v>
      </c>
      <c r="AA70" s="19" t="s">
        <v>178</v>
      </c>
      <c r="AB70" s="41" t="n">
        <v>2015</v>
      </c>
      <c r="AC70" s="40" t="s">
        <v>179</v>
      </c>
      <c r="AD70" s="19" t="s">
        <v>110</v>
      </c>
      <c r="AE70" s="19" t="n">
        <v>0.13</v>
      </c>
      <c r="AF70" s="19" t="n">
        <v>13</v>
      </c>
      <c r="AG70" s="0"/>
      <c r="AH70" s="0"/>
      <c r="AI70" s="19" t="n">
        <v>100</v>
      </c>
      <c r="AJ70" s="0"/>
      <c r="AK70" s="0"/>
      <c r="AL70" s="19" t="s">
        <v>108</v>
      </c>
      <c r="AM70" s="0"/>
      <c r="AN70" s="0"/>
      <c r="AO70" s="0"/>
      <c r="AP70" s="0"/>
      <c r="AQ70" s="19" t="s">
        <v>108</v>
      </c>
      <c r="AR70" s="19" t="s">
        <v>108</v>
      </c>
      <c r="AS70" s="19" t="s">
        <v>108</v>
      </c>
      <c r="AT70" s="0"/>
      <c r="AU70" s="19" t="n">
        <v>0</v>
      </c>
      <c r="AV70" s="0"/>
      <c r="AW70" s="19" t="s">
        <v>117</v>
      </c>
      <c r="AX70" s="41" t="n">
        <v>0</v>
      </c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4.4" hidden="false" customHeight="false" outlineLevel="0" collapsed="false">
      <c r="A71" s="80" t="n">
        <f aca="false">(B71/83)*100</f>
        <v>0.103614457831325</v>
      </c>
      <c r="B71" s="80" t="n">
        <v>0.086</v>
      </c>
      <c r="C71" s="80"/>
      <c r="D71" s="14" t="n">
        <f aca="false">E71/I71</f>
        <v>0.897435897435897</v>
      </c>
      <c r="E71" s="15" t="n">
        <v>350</v>
      </c>
      <c r="F71" s="38" t="n">
        <v>330</v>
      </c>
      <c r="G71" s="17" t="n">
        <v>370</v>
      </c>
      <c r="H71" s="81" t="n">
        <v>1</v>
      </c>
      <c r="I71" s="19" t="n">
        <v>390</v>
      </c>
      <c r="J71" s="19" t="n">
        <v>0.15</v>
      </c>
      <c r="K71" s="0"/>
      <c r="M71" s="82"/>
      <c r="N71" s="0"/>
      <c r="O71" s="64" t="n">
        <v>5E-006</v>
      </c>
      <c r="P71" s="64"/>
      <c r="Q71" s="64" t="n">
        <f aca="false">M71*O71</f>
        <v>0</v>
      </c>
      <c r="R71" s="65" t="n">
        <f aca="false">A71*O71</f>
        <v>5.18072289156626E-007</v>
      </c>
      <c r="S71" s="65"/>
      <c r="T71" s="83"/>
      <c r="U71" s="83"/>
      <c r="V71" s="0"/>
      <c r="W71" s="0"/>
      <c r="X71" s="0"/>
      <c r="Y71" s="0"/>
      <c r="Z71" s="40" t="s">
        <v>177</v>
      </c>
      <c r="AA71" s="19" t="s">
        <v>178</v>
      </c>
      <c r="AB71" s="41" t="n">
        <v>2015</v>
      </c>
      <c r="AC71" s="40" t="s">
        <v>180</v>
      </c>
      <c r="AD71" s="19" t="s">
        <v>110</v>
      </c>
      <c r="AE71" s="19" t="n">
        <v>0.13</v>
      </c>
      <c r="AF71" s="0"/>
      <c r="AG71" s="0"/>
      <c r="AH71" s="0"/>
      <c r="AI71" s="19" t="n">
        <v>100</v>
      </c>
      <c r="AJ71" s="0"/>
      <c r="AK71" s="0"/>
      <c r="AL71" s="19" t="s">
        <v>108</v>
      </c>
      <c r="AM71" s="0"/>
      <c r="AN71" s="0"/>
      <c r="AO71" s="0"/>
      <c r="AP71" s="0"/>
      <c r="AQ71" s="19" t="s">
        <v>108</v>
      </c>
      <c r="AR71" s="19" t="s">
        <v>108</v>
      </c>
      <c r="AS71" s="19" t="s">
        <v>108</v>
      </c>
      <c r="AT71" s="0"/>
      <c r="AU71" s="19" t="n">
        <v>0</v>
      </c>
      <c r="AV71" s="0"/>
      <c r="AW71" s="19" t="s">
        <v>117</v>
      </c>
      <c r="AX71" s="41" t="n">
        <v>0</v>
      </c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4.4" hidden="false" customHeight="false" outlineLevel="0" collapsed="false">
      <c r="A72" s="80" t="n">
        <f aca="false">(B72/83)*100</f>
        <v>0.103614457831325</v>
      </c>
      <c r="B72" s="80" t="n">
        <v>0.086</v>
      </c>
      <c r="C72" s="80"/>
      <c r="D72" s="14" t="n">
        <f aca="false">E72/I72</f>
        <v>0.666666666666667</v>
      </c>
      <c r="E72" s="15" t="n">
        <v>260</v>
      </c>
      <c r="F72" s="38" t="n">
        <v>240</v>
      </c>
      <c r="G72" s="17" t="n">
        <v>280</v>
      </c>
      <c r="H72" s="81" t="n">
        <v>1</v>
      </c>
      <c r="I72" s="19" t="n">
        <v>390</v>
      </c>
      <c r="J72" s="19" t="n">
        <v>0.15</v>
      </c>
      <c r="K72" s="0"/>
      <c r="M72" s="82"/>
      <c r="N72" s="19" t="n">
        <v>76000000</v>
      </c>
      <c r="O72" s="64" t="n">
        <v>0</v>
      </c>
      <c r="P72" s="64"/>
      <c r="Q72" s="64" t="n">
        <f aca="false">M72*N72</f>
        <v>0</v>
      </c>
      <c r="R72" s="65" t="n">
        <f aca="false">A72*N72</f>
        <v>7874698.79518072</v>
      </c>
      <c r="S72" s="65"/>
      <c r="T72" s="83"/>
      <c r="U72" s="83"/>
      <c r="V72" s="0"/>
      <c r="W72" s="0"/>
      <c r="X72" s="0"/>
      <c r="Y72" s="0"/>
      <c r="Z72" s="40" t="s">
        <v>177</v>
      </c>
      <c r="AA72" s="19" t="s">
        <v>178</v>
      </c>
      <c r="AB72" s="41" t="n">
        <v>2015</v>
      </c>
      <c r="AC72" s="40" t="s">
        <v>180</v>
      </c>
      <c r="AD72" s="19" t="s">
        <v>110</v>
      </c>
      <c r="AE72" s="19" t="n">
        <v>0.13</v>
      </c>
      <c r="AF72" s="0"/>
      <c r="AG72" s="0"/>
      <c r="AH72" s="0"/>
      <c r="AI72" s="19" t="n">
        <v>100</v>
      </c>
      <c r="AJ72" s="0"/>
      <c r="AK72" s="0"/>
      <c r="AL72" s="19" t="s">
        <v>108</v>
      </c>
      <c r="AM72" s="0"/>
      <c r="AN72" s="0"/>
      <c r="AO72" s="0"/>
      <c r="AP72" s="0"/>
      <c r="AQ72" s="19" t="s">
        <v>108</v>
      </c>
      <c r="AR72" s="19" t="s">
        <v>108</v>
      </c>
      <c r="AS72" s="19" t="s">
        <v>108</v>
      </c>
      <c r="AT72" s="0"/>
      <c r="AU72" s="19" t="n">
        <v>0</v>
      </c>
      <c r="AV72" s="0"/>
      <c r="AW72" s="19" t="s">
        <v>117</v>
      </c>
      <c r="AX72" s="41" t="n">
        <v>0</v>
      </c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4.4" hidden="false" customHeight="false" outlineLevel="0" collapsed="false">
      <c r="A73" s="80" t="n">
        <f aca="false">(B73/83)*100</f>
        <v>0.103614457831325</v>
      </c>
      <c r="B73" s="80" t="n">
        <v>0.086</v>
      </c>
      <c r="C73" s="80"/>
      <c r="D73" s="14" t="n">
        <f aca="false">E73/I73</f>
        <v>0.671794871794872</v>
      </c>
      <c r="E73" s="15" t="n">
        <v>262</v>
      </c>
      <c r="F73" s="38" t="n">
        <v>242</v>
      </c>
      <c r="G73" s="17" t="n">
        <v>282</v>
      </c>
      <c r="H73" s="81" t="n">
        <v>1</v>
      </c>
      <c r="I73" s="19" t="n">
        <v>390</v>
      </c>
      <c r="J73" s="19" t="n">
        <v>0.15</v>
      </c>
      <c r="K73" s="0"/>
      <c r="M73" s="82"/>
      <c r="N73" s="19" t="n">
        <v>304000000</v>
      </c>
      <c r="O73" s="64" t="n">
        <v>0</v>
      </c>
      <c r="P73" s="64"/>
      <c r="Q73" s="64" t="n">
        <f aca="false">M73*N73</f>
        <v>0</v>
      </c>
      <c r="R73" s="65" t="n">
        <f aca="false">A73*N73</f>
        <v>31498795.1807229</v>
      </c>
      <c r="S73" s="65"/>
      <c r="T73" s="83"/>
      <c r="U73" s="83"/>
      <c r="V73" s="0"/>
      <c r="W73" s="0"/>
      <c r="X73" s="0"/>
      <c r="Y73" s="0"/>
      <c r="Z73" s="40" t="s">
        <v>177</v>
      </c>
      <c r="AA73" s="19" t="s">
        <v>178</v>
      </c>
      <c r="AB73" s="41" t="n">
        <v>2015</v>
      </c>
      <c r="AC73" s="40" t="s">
        <v>180</v>
      </c>
      <c r="AD73" s="19" t="s">
        <v>110</v>
      </c>
      <c r="AE73" s="19" t="n">
        <v>0.13</v>
      </c>
      <c r="AF73" s="0"/>
      <c r="AG73" s="0"/>
      <c r="AH73" s="0"/>
      <c r="AI73" s="19" t="n">
        <v>100</v>
      </c>
      <c r="AJ73" s="0"/>
      <c r="AK73" s="0"/>
      <c r="AL73" s="19" t="s">
        <v>108</v>
      </c>
      <c r="AM73" s="0"/>
      <c r="AN73" s="0"/>
      <c r="AO73" s="0"/>
      <c r="AP73" s="0"/>
      <c r="AQ73" s="19" t="s">
        <v>108</v>
      </c>
      <c r="AR73" s="19" t="s">
        <v>108</v>
      </c>
      <c r="AS73" s="19" t="s">
        <v>108</v>
      </c>
      <c r="AT73" s="0"/>
      <c r="AU73" s="19" t="n">
        <v>0</v>
      </c>
      <c r="AV73" s="0"/>
      <c r="AW73" s="19" t="s">
        <v>117</v>
      </c>
      <c r="AX73" s="41" t="n">
        <v>0</v>
      </c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14.4" hidden="false" customHeight="false" outlineLevel="0" collapsed="false">
      <c r="A74" s="80" t="n">
        <f aca="false">(B74/83)*100</f>
        <v>0.103614457831325</v>
      </c>
      <c r="B74" s="80" t="n">
        <v>0.086</v>
      </c>
      <c r="C74" s="80"/>
      <c r="D74" s="14" t="n">
        <f aca="false">E74/I74</f>
        <v>0.805128205128205</v>
      </c>
      <c r="E74" s="15" t="n">
        <v>314</v>
      </c>
      <c r="F74" s="38" t="n">
        <v>294</v>
      </c>
      <c r="G74" s="17" t="n">
        <v>334</v>
      </c>
      <c r="H74" s="81" t="n">
        <v>1</v>
      </c>
      <c r="I74" s="19" t="n">
        <v>390</v>
      </c>
      <c r="J74" s="19" t="n">
        <v>0.15</v>
      </c>
      <c r="K74" s="0"/>
      <c r="M74" s="82"/>
      <c r="N74" s="19" t="n">
        <v>760000000</v>
      </c>
      <c r="O74" s="64" t="n">
        <v>0</v>
      </c>
      <c r="P74" s="64"/>
      <c r="Q74" s="64" t="n">
        <f aca="false">M74*N74</f>
        <v>0</v>
      </c>
      <c r="R74" s="65" t="n">
        <f aca="false">A74*N74</f>
        <v>78746987.9518072</v>
      </c>
      <c r="S74" s="65"/>
      <c r="T74" s="83"/>
      <c r="U74" s="83"/>
      <c r="V74" s="0"/>
      <c r="W74" s="0"/>
      <c r="X74" s="0"/>
      <c r="Y74" s="0"/>
      <c r="Z74" s="40" t="s">
        <v>177</v>
      </c>
      <c r="AA74" s="19" t="s">
        <v>178</v>
      </c>
      <c r="AB74" s="41" t="n">
        <v>2015</v>
      </c>
      <c r="AC74" s="40" t="s">
        <v>180</v>
      </c>
      <c r="AD74" s="19" t="s">
        <v>110</v>
      </c>
      <c r="AE74" s="19" t="n">
        <v>0.13</v>
      </c>
      <c r="AF74" s="0"/>
      <c r="AG74" s="0"/>
      <c r="AH74" s="0"/>
      <c r="AI74" s="19" t="n">
        <v>100</v>
      </c>
      <c r="AJ74" s="0"/>
      <c r="AK74" s="0"/>
      <c r="AL74" s="19" t="s">
        <v>108</v>
      </c>
      <c r="AM74" s="0"/>
      <c r="AN74" s="0"/>
      <c r="AO74" s="0"/>
      <c r="AP74" s="0"/>
      <c r="AQ74" s="19" t="s">
        <v>108</v>
      </c>
      <c r="AR74" s="19" t="s">
        <v>108</v>
      </c>
      <c r="AS74" s="19" t="s">
        <v>108</v>
      </c>
      <c r="AT74" s="0"/>
      <c r="AU74" s="19" t="n">
        <v>0</v>
      </c>
      <c r="AV74" s="0"/>
      <c r="AW74" s="19" t="s">
        <v>117</v>
      </c>
      <c r="AX74" s="41" t="n">
        <v>0</v>
      </c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14.4" hidden="false" customHeight="false" outlineLevel="0" collapsed="false">
      <c r="A75" s="80" t="n">
        <f aca="false">(B75/83)*100</f>
        <v>1.40963855421687</v>
      </c>
      <c r="B75" s="79" t="n">
        <v>1.17</v>
      </c>
      <c r="C75" s="79"/>
      <c r="D75" s="17" t="s">
        <v>181</v>
      </c>
      <c r="E75" s="17" t="s">
        <v>181</v>
      </c>
      <c r="F75" s="38" t="s">
        <v>181</v>
      </c>
      <c r="G75" s="38" t="s">
        <v>181</v>
      </c>
      <c r="H75" s="0"/>
      <c r="I75" s="19" t="n">
        <v>515</v>
      </c>
      <c r="J75" s="64" t="n">
        <v>0.25</v>
      </c>
      <c r="K75" s="0"/>
      <c r="M75" s="0"/>
      <c r="N75" s="64" t="n">
        <v>2</v>
      </c>
      <c r="O75" s="64"/>
      <c r="P75" s="64"/>
      <c r="Q75" s="19" t="n">
        <f aca="false">M75*N75</f>
        <v>0</v>
      </c>
      <c r="R75" s="21" t="n">
        <f aca="false">A75*N75</f>
        <v>2.81927710843373</v>
      </c>
      <c r="S75" s="0"/>
      <c r="T75" s="22" t="e">
        <f aca="false">(G75-F75)/H75/E75</f>
        <v>#VALUE!</v>
      </c>
      <c r="U75" s="0"/>
      <c r="V75" s="0"/>
      <c r="W75" s="0"/>
      <c r="X75" s="0"/>
      <c r="Y75" s="0"/>
      <c r="Z75" s="40" t="s">
        <v>182</v>
      </c>
      <c r="AA75" s="19" t="s">
        <v>183</v>
      </c>
      <c r="AB75" s="41" t="n">
        <v>2013</v>
      </c>
      <c r="AC75" s="84" t="s">
        <v>184</v>
      </c>
      <c r="AD75" s="0"/>
      <c r="AE75" s="19" t="n">
        <v>270.5</v>
      </c>
      <c r="AF75" s="0"/>
      <c r="AG75" s="0"/>
      <c r="AH75" s="0"/>
      <c r="AI75" s="0"/>
      <c r="AJ75" s="0"/>
      <c r="AK75" s="66" t="n">
        <f aca="false">1070/J75*1000000000000</f>
        <v>4280000000000000</v>
      </c>
      <c r="AL75" s="85" t="s">
        <v>185</v>
      </c>
      <c r="AM75" s="19" t="s">
        <v>116</v>
      </c>
      <c r="AN75" s="0"/>
      <c r="AO75" s="0"/>
      <c r="AP75" s="0"/>
      <c r="AQ75" s="26" t="n">
        <v>8.4</v>
      </c>
      <c r="AR75" s="26" t="n">
        <v>8.4</v>
      </c>
      <c r="AS75" s="26" t="n">
        <v>8.4</v>
      </c>
      <c r="AT75" s="0"/>
      <c r="AU75" s="19" t="n">
        <v>0</v>
      </c>
      <c r="AV75" s="0"/>
      <c r="AW75" s="19" t="s">
        <v>117</v>
      </c>
      <c r="AX75" s="69" t="n">
        <v>0</v>
      </c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14.4" hidden="false" customHeight="false" outlineLevel="0" collapsed="false">
      <c r="A76" s="80" t="n">
        <f aca="false">(B76/83)*100</f>
        <v>1.40963855421687</v>
      </c>
      <c r="B76" s="79" t="n">
        <v>1.17</v>
      </c>
      <c r="C76" s="79"/>
      <c r="D76" s="14" t="n">
        <f aca="false">E76/I76</f>
        <v>0.237733980582524</v>
      </c>
      <c r="E76" s="15" t="n">
        <f aca="false">(G76+F76)/2/H76</f>
        <v>122.433</v>
      </c>
      <c r="F76" s="38" t="n">
        <v>109.125</v>
      </c>
      <c r="G76" s="17" t="n">
        <v>135.741</v>
      </c>
      <c r="H76" s="39" t="n">
        <v>1</v>
      </c>
      <c r="I76" s="19" t="n">
        <v>515</v>
      </c>
      <c r="J76" s="64" t="n">
        <v>0.25</v>
      </c>
      <c r="L76" s="23"/>
      <c r="N76" s="64" t="n">
        <v>3</v>
      </c>
      <c r="O76" s="64"/>
      <c r="P76" s="64"/>
      <c r="Q76" s="19" t="n">
        <f aca="false">M76*N76</f>
        <v>0</v>
      </c>
      <c r="R76" s="21" t="n">
        <f aca="false">A76*N76</f>
        <v>4.2289156626506</v>
      </c>
      <c r="T76" s="22" t="n">
        <f aca="false">(G76-F76)/H76/E76</f>
        <v>0.217392369704246</v>
      </c>
      <c r="Z76" s="40" t="s">
        <v>182</v>
      </c>
      <c r="AA76" s="19" t="s">
        <v>183</v>
      </c>
      <c r="AB76" s="41" t="n">
        <v>2013</v>
      </c>
      <c r="AC76" s="84" t="s">
        <v>184</v>
      </c>
      <c r="AE76" s="19" t="n">
        <v>270.5</v>
      </c>
      <c r="AK76" s="66" t="n">
        <f aca="false">1070/J76*1000000000000</f>
        <v>4280000000000000</v>
      </c>
      <c r="AL76" s="85" t="s">
        <v>185</v>
      </c>
      <c r="AM76" s="19" t="s">
        <v>116</v>
      </c>
      <c r="AO76" s="40"/>
      <c r="AQ76" s="26" t="n">
        <v>8.4</v>
      </c>
      <c r="AR76" s="26" t="n">
        <v>8.4</v>
      </c>
      <c r="AS76" s="26" t="n">
        <v>8.4</v>
      </c>
      <c r="AU76" s="19" t="n">
        <v>0</v>
      </c>
      <c r="AW76" s="19" t="s">
        <v>117</v>
      </c>
      <c r="AX76" s="69" t="n">
        <v>0</v>
      </c>
    </row>
    <row r="77" customFormat="false" ht="14.4" hidden="false" customHeight="false" outlineLevel="0" collapsed="false">
      <c r="A77" s="80" t="n">
        <f aca="false">(B77/83)*100</f>
        <v>1.40963855421687</v>
      </c>
      <c r="B77" s="79" t="n">
        <v>1.17</v>
      </c>
      <c r="C77" s="79"/>
      <c r="D77" s="14" t="n">
        <f aca="false">E77/I77</f>
        <v>0.223522330097087</v>
      </c>
      <c r="E77" s="15" t="n">
        <f aca="false">(G77+F77)/2/H77</f>
        <v>115.114</v>
      </c>
      <c r="F77" s="38" t="n">
        <v>106.464</v>
      </c>
      <c r="G77" s="17" t="n">
        <v>123.764</v>
      </c>
      <c r="H77" s="39" t="n">
        <v>1</v>
      </c>
      <c r="I77" s="19" t="n">
        <v>515</v>
      </c>
      <c r="J77" s="64" t="n">
        <v>0.25</v>
      </c>
      <c r="N77" s="64" t="n">
        <v>4</v>
      </c>
      <c r="O77" s="64"/>
      <c r="P77" s="64"/>
      <c r="Q77" s="19" t="n">
        <f aca="false">M77*N77</f>
        <v>0</v>
      </c>
      <c r="R77" s="21" t="n">
        <f aca="false">A77*N77</f>
        <v>5.63855421686747</v>
      </c>
      <c r="T77" s="22" t="n">
        <f aca="false">(G77-F77)/H77/E77</f>
        <v>0.150285803638133</v>
      </c>
      <c r="V77" s="0"/>
      <c r="W77" s="0"/>
      <c r="X77" s="0"/>
      <c r="Y77" s="0"/>
      <c r="Z77" s="40" t="s">
        <v>182</v>
      </c>
      <c r="AA77" s="19" t="s">
        <v>183</v>
      </c>
      <c r="AB77" s="41" t="n">
        <v>2013</v>
      </c>
      <c r="AC77" s="84" t="s">
        <v>184</v>
      </c>
      <c r="AE77" s="19" t="n">
        <v>270.5</v>
      </c>
      <c r="AK77" s="66" t="n">
        <f aca="false">1070/J77*1000000000000</f>
        <v>4280000000000000</v>
      </c>
      <c r="AL77" s="85" t="s">
        <v>185</v>
      </c>
      <c r="AM77" s="19" t="s">
        <v>116</v>
      </c>
      <c r="AO77" s="40"/>
      <c r="AQ77" s="26" t="n">
        <v>8.4</v>
      </c>
      <c r="AR77" s="26" t="n">
        <v>8.4</v>
      </c>
      <c r="AS77" s="26" t="n">
        <v>8.4</v>
      </c>
      <c r="AU77" s="19" t="n">
        <v>0</v>
      </c>
      <c r="AW77" s="19" t="s">
        <v>117</v>
      </c>
      <c r="AX77" s="69" t="n">
        <v>0</v>
      </c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4.4" hidden="false" customHeight="false" outlineLevel="0" collapsed="false">
      <c r="A78" s="80" t="n">
        <f aca="false">(B78/83)*100</f>
        <v>1.40963855421687</v>
      </c>
      <c r="B78" s="79" t="n">
        <v>1.17</v>
      </c>
      <c r="C78" s="79"/>
      <c r="D78" s="14" t="n">
        <f aca="false">E78/I78</f>
        <v>0.246778640776699</v>
      </c>
      <c r="E78" s="15" t="n">
        <f aca="false">(G78+F78)/2/H78</f>
        <v>127.091</v>
      </c>
      <c r="F78" s="38" t="n">
        <v>117.11</v>
      </c>
      <c r="G78" s="17" t="n">
        <v>137.072</v>
      </c>
      <c r="H78" s="39" t="n">
        <v>1</v>
      </c>
      <c r="I78" s="19" t="n">
        <v>515</v>
      </c>
      <c r="J78" s="64" t="n">
        <v>0.25</v>
      </c>
      <c r="N78" s="64" t="n">
        <v>5</v>
      </c>
      <c r="O78" s="64"/>
      <c r="P78" s="64"/>
      <c r="Q78" s="19" t="n">
        <f aca="false">M78*N78</f>
        <v>0</v>
      </c>
      <c r="R78" s="21" t="n">
        <f aca="false">A78*N78</f>
        <v>7.04819277108434</v>
      </c>
      <c r="T78" s="22" t="n">
        <f aca="false">(G78-F78)/H78/E78</f>
        <v>0.157068557175567</v>
      </c>
      <c r="V78" s="0"/>
      <c r="W78" s="0"/>
      <c r="X78" s="0"/>
      <c r="Y78" s="0"/>
      <c r="Z78" s="40" t="s">
        <v>182</v>
      </c>
      <c r="AA78" s="19" t="s">
        <v>183</v>
      </c>
      <c r="AB78" s="41" t="n">
        <v>2013</v>
      </c>
      <c r="AC78" s="84" t="s">
        <v>184</v>
      </c>
      <c r="AE78" s="19" t="n">
        <v>270.5</v>
      </c>
      <c r="AK78" s="66" t="n">
        <f aca="false">1070/J78*1000000000000</f>
        <v>4280000000000000</v>
      </c>
      <c r="AL78" s="85" t="s">
        <v>185</v>
      </c>
      <c r="AM78" s="19" t="s">
        <v>116</v>
      </c>
      <c r="AO78" s="40"/>
      <c r="AQ78" s="26" t="n">
        <v>8.4</v>
      </c>
      <c r="AR78" s="26" t="n">
        <v>8.4</v>
      </c>
      <c r="AS78" s="26" t="n">
        <v>8.4</v>
      </c>
      <c r="AU78" s="19" t="n">
        <v>0</v>
      </c>
      <c r="AW78" s="19" t="s">
        <v>117</v>
      </c>
      <c r="AX78" s="69" t="n">
        <v>0</v>
      </c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14.4" hidden="false" customHeight="false" outlineLevel="0" collapsed="false">
      <c r="A79" s="80" t="n">
        <f aca="false">(B79/83)*100</f>
        <v>1.40963855421687</v>
      </c>
      <c r="B79" s="79" t="n">
        <v>1.17</v>
      </c>
      <c r="C79" s="79"/>
      <c r="D79" s="14" t="n">
        <f aca="false">E79/I79</f>
        <v>0.262283495145631</v>
      </c>
      <c r="E79" s="15" t="n">
        <f aca="false">(G79+F79)/2/H79</f>
        <v>135.076</v>
      </c>
      <c r="F79" s="38" t="n">
        <v>117.11</v>
      </c>
      <c r="G79" s="17" t="n">
        <v>153.042</v>
      </c>
      <c r="H79" s="39" t="n">
        <v>1</v>
      </c>
      <c r="I79" s="19" t="n">
        <v>515</v>
      </c>
      <c r="J79" s="64" t="n">
        <v>0.25</v>
      </c>
      <c r="N79" s="64" t="n">
        <v>6</v>
      </c>
      <c r="O79" s="64"/>
      <c r="P79" s="64"/>
      <c r="Q79" s="19" t="n">
        <f aca="false">M79*N79</f>
        <v>0</v>
      </c>
      <c r="R79" s="21" t="n">
        <f aca="false">A79*N79</f>
        <v>8.45783132530121</v>
      </c>
      <c r="T79" s="22" t="n">
        <f aca="false">(G79-F79)/H79/E79</f>
        <v>0.266013207379549</v>
      </c>
      <c r="V79" s="0"/>
      <c r="W79" s="0"/>
      <c r="X79" s="0"/>
      <c r="Y79" s="0"/>
      <c r="Z79" s="40" t="s">
        <v>182</v>
      </c>
      <c r="AA79" s="19" t="s">
        <v>183</v>
      </c>
      <c r="AB79" s="41" t="n">
        <v>2013</v>
      </c>
      <c r="AC79" s="84" t="s">
        <v>184</v>
      </c>
      <c r="AE79" s="19" t="n">
        <v>270.5</v>
      </c>
      <c r="AK79" s="66" t="n">
        <f aca="false">1070/J79*1000000000000</f>
        <v>4280000000000000</v>
      </c>
      <c r="AL79" s="85" t="s">
        <v>185</v>
      </c>
      <c r="AM79" s="19" t="s">
        <v>116</v>
      </c>
      <c r="AO79" s="40"/>
      <c r="AQ79" s="26" t="n">
        <v>8.4</v>
      </c>
      <c r="AR79" s="26" t="n">
        <v>8.4</v>
      </c>
      <c r="AS79" s="26" t="n">
        <v>8.4</v>
      </c>
      <c r="AU79" s="19" t="n">
        <v>0</v>
      </c>
      <c r="AW79" s="19" t="s">
        <v>117</v>
      </c>
      <c r="AX79" s="69" t="n">
        <v>0</v>
      </c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14.4" hidden="false" customHeight="false" outlineLevel="0" collapsed="false">
      <c r="A80" s="80" t="n">
        <f aca="false">(B80/83)*100</f>
        <v>1.40963855421687</v>
      </c>
      <c r="B80" s="79" t="n">
        <v>1.17</v>
      </c>
      <c r="C80" s="79"/>
      <c r="D80" s="14" t="n">
        <f aca="false">E80/I80</f>
        <v>0.270035922330097</v>
      </c>
      <c r="E80" s="15" t="n">
        <f aca="false">(G80+F80)/2/H80</f>
        <v>139.0685</v>
      </c>
      <c r="F80" s="38" t="n">
        <v>127.757</v>
      </c>
      <c r="G80" s="17" t="n">
        <v>150.38</v>
      </c>
      <c r="H80" s="39" t="n">
        <v>1</v>
      </c>
      <c r="I80" s="19" t="n">
        <v>515</v>
      </c>
      <c r="J80" s="64" t="n">
        <v>0.25</v>
      </c>
      <c r="N80" s="64" t="n">
        <v>7</v>
      </c>
      <c r="O80" s="64"/>
      <c r="P80" s="64"/>
      <c r="Q80" s="19" t="n">
        <f aca="false">M80*N80</f>
        <v>0</v>
      </c>
      <c r="R80" s="21" t="n">
        <f aca="false">A80*N80</f>
        <v>9.86746987951807</v>
      </c>
      <c r="T80" s="22" t="n">
        <f aca="false">(G80-F80)/H80/E80</f>
        <v>0.16267522839464</v>
      </c>
      <c r="V80" s="0"/>
      <c r="W80" s="0"/>
      <c r="X80" s="0"/>
      <c r="Y80" s="0"/>
      <c r="Z80" s="40" t="s">
        <v>182</v>
      </c>
      <c r="AA80" s="19" t="s">
        <v>183</v>
      </c>
      <c r="AB80" s="41" t="n">
        <v>2013</v>
      </c>
      <c r="AC80" s="84" t="s">
        <v>184</v>
      </c>
      <c r="AE80" s="19" t="n">
        <v>270.5</v>
      </c>
      <c r="AK80" s="66" t="n">
        <f aca="false">1070/J80*1000000000000</f>
        <v>4280000000000000</v>
      </c>
      <c r="AL80" s="85" t="s">
        <v>185</v>
      </c>
      <c r="AM80" s="19" t="s">
        <v>116</v>
      </c>
      <c r="AO80" s="40"/>
      <c r="AQ80" s="26" t="n">
        <v>8.4</v>
      </c>
      <c r="AR80" s="26" t="n">
        <v>8.4</v>
      </c>
      <c r="AS80" s="26" t="n">
        <v>8.4</v>
      </c>
      <c r="AU80" s="19" t="n">
        <v>0</v>
      </c>
      <c r="AW80" s="19" t="s">
        <v>117</v>
      </c>
      <c r="AX80" s="69" t="n">
        <v>0</v>
      </c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4.4" hidden="false" customHeight="false" outlineLevel="0" collapsed="false">
      <c r="A81" s="80" t="n">
        <f aca="false">(B81/83)*100</f>
        <v>1.40963855421687</v>
      </c>
      <c r="B81" s="79" t="n">
        <v>1.17</v>
      </c>
      <c r="C81" s="79"/>
      <c r="D81" s="14" t="n">
        <f aca="false">E81/I81</f>
        <v>0.246779611650485</v>
      </c>
      <c r="E81" s="15" t="n">
        <f aca="false">(G81+F81)/2/H81</f>
        <v>127.0915</v>
      </c>
      <c r="F81" s="38" t="n">
        <v>101.141</v>
      </c>
      <c r="G81" s="17" t="n">
        <v>153.042</v>
      </c>
      <c r="H81" s="39" t="n">
        <v>1</v>
      </c>
      <c r="I81" s="19" t="n">
        <v>515</v>
      </c>
      <c r="J81" s="64" t="n">
        <v>0.25</v>
      </c>
      <c r="N81" s="64" t="n">
        <v>8</v>
      </c>
      <c r="O81" s="64"/>
      <c r="P81" s="64"/>
      <c r="Q81" s="19" t="n">
        <f aca="false">M81*N81</f>
        <v>0</v>
      </c>
      <c r="R81" s="21" t="n">
        <f aca="false">A81*N81</f>
        <v>11.2771084337349</v>
      </c>
      <c r="T81" s="22" t="n">
        <f aca="false">(G81-F81)/H81/E81</f>
        <v>0.408375068356263</v>
      </c>
      <c r="V81" s="0"/>
      <c r="W81" s="0"/>
      <c r="X81" s="0"/>
      <c r="Y81" s="0"/>
      <c r="Z81" s="40" t="s">
        <v>182</v>
      </c>
      <c r="AA81" s="19" t="s">
        <v>183</v>
      </c>
      <c r="AB81" s="41" t="n">
        <v>2013</v>
      </c>
      <c r="AC81" s="84" t="s">
        <v>184</v>
      </c>
      <c r="AE81" s="19" t="n">
        <v>270.5</v>
      </c>
      <c r="AK81" s="66" t="n">
        <f aca="false">1070/J81*1000000000000</f>
        <v>4280000000000000</v>
      </c>
      <c r="AL81" s="85" t="s">
        <v>185</v>
      </c>
      <c r="AM81" s="19" t="s">
        <v>116</v>
      </c>
      <c r="AO81" s="40"/>
      <c r="AQ81" s="26" t="n">
        <v>8.4</v>
      </c>
      <c r="AR81" s="26" t="n">
        <v>8.4</v>
      </c>
      <c r="AS81" s="26" t="n">
        <v>8.4</v>
      </c>
      <c r="AU81" s="19" t="n">
        <v>0</v>
      </c>
      <c r="AW81" s="19" t="s">
        <v>117</v>
      </c>
      <c r="AX81" s="69" t="n">
        <v>0</v>
      </c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4.4" hidden="false" customHeight="false" outlineLevel="0" collapsed="false">
      <c r="A82" s="80" t="n">
        <f aca="false">(B82/83)*100</f>
        <v>1.40963855421687</v>
      </c>
      <c r="B82" s="79" t="n">
        <v>1.17</v>
      </c>
      <c r="C82" s="79"/>
      <c r="D82" s="14" t="n">
        <f aca="false">E82/I82</f>
        <v>0.275203883495146</v>
      </c>
      <c r="E82" s="15" t="n">
        <f aca="false">(G82+F82)/2/H82</f>
        <v>141.73</v>
      </c>
      <c r="F82" s="38" t="n">
        <v>123.764</v>
      </c>
      <c r="G82" s="17" t="n">
        <v>159.696</v>
      </c>
      <c r="H82" s="39" t="n">
        <v>1</v>
      </c>
      <c r="I82" s="19" t="n">
        <v>515</v>
      </c>
      <c r="J82" s="64" t="n">
        <v>0.25</v>
      </c>
      <c r="N82" s="64" t="n">
        <v>9</v>
      </c>
      <c r="O82" s="64"/>
      <c r="P82" s="64"/>
      <c r="Q82" s="19" t="n">
        <f aca="false">M82*N82</f>
        <v>0</v>
      </c>
      <c r="R82" s="21" t="n">
        <f aca="false">A82*N82</f>
        <v>12.6867469879518</v>
      </c>
      <c r="T82" s="22" t="n">
        <f aca="false">(G82-F82)/H82/E82</f>
        <v>0.253524306780498</v>
      </c>
      <c r="V82" s="0"/>
      <c r="W82" s="0"/>
      <c r="X82" s="0"/>
      <c r="Y82" s="0"/>
      <c r="Z82" s="40" t="s">
        <v>182</v>
      </c>
      <c r="AA82" s="19" t="s">
        <v>183</v>
      </c>
      <c r="AB82" s="41" t="n">
        <v>2013</v>
      </c>
      <c r="AC82" s="84" t="s">
        <v>184</v>
      </c>
      <c r="AE82" s="19" t="n">
        <v>270.5</v>
      </c>
      <c r="AK82" s="66" t="n">
        <f aca="false">1070/J82*1000000000000</f>
        <v>4280000000000000</v>
      </c>
      <c r="AL82" s="85" t="s">
        <v>185</v>
      </c>
      <c r="AM82" s="19" t="s">
        <v>116</v>
      </c>
      <c r="AO82" s="40"/>
      <c r="AQ82" s="26" t="n">
        <v>8.4</v>
      </c>
      <c r="AR82" s="26" t="n">
        <v>8.4</v>
      </c>
      <c r="AS82" s="26" t="n">
        <v>8.4</v>
      </c>
      <c r="AU82" s="19" t="n">
        <v>0</v>
      </c>
      <c r="AW82" s="19" t="s">
        <v>117</v>
      </c>
      <c r="AX82" s="69" t="n">
        <v>0</v>
      </c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4.4" hidden="false" customHeight="false" outlineLevel="0" collapsed="false">
      <c r="A83" s="80" t="n">
        <f aca="false">(B83/83)*100</f>
        <v>1.40963855421687</v>
      </c>
      <c r="B83" s="79" t="n">
        <v>1.17</v>
      </c>
      <c r="C83" s="79"/>
      <c r="D83" s="14" t="n">
        <f aca="false">E83/I83</f>
        <v>0.277788349514563</v>
      </c>
      <c r="E83" s="15" t="n">
        <f aca="false">(G83+F83)/2/H83</f>
        <v>143.061</v>
      </c>
      <c r="F83" s="38" t="n">
        <v>133.08</v>
      </c>
      <c r="G83" s="17" t="n">
        <v>153.042</v>
      </c>
      <c r="H83" s="39" t="n">
        <v>1</v>
      </c>
      <c r="I83" s="19" t="n">
        <v>515</v>
      </c>
      <c r="J83" s="64" t="n">
        <v>0.25</v>
      </c>
      <c r="N83" s="64" t="n">
        <v>10</v>
      </c>
      <c r="O83" s="64"/>
      <c r="P83" s="64"/>
      <c r="Q83" s="19" t="n">
        <f aca="false">M83*N83</f>
        <v>0</v>
      </c>
      <c r="R83" s="21" t="n">
        <f aca="false">A83*N83</f>
        <v>14.0963855421687</v>
      </c>
      <c r="T83" s="22" t="n">
        <f aca="false">(G83-F83)/H83/E83</f>
        <v>0.13953488372093</v>
      </c>
      <c r="V83" s="0"/>
      <c r="W83" s="0"/>
      <c r="X83" s="0"/>
      <c r="Y83" s="0"/>
      <c r="Z83" s="40" t="s">
        <v>182</v>
      </c>
      <c r="AA83" s="19" t="s">
        <v>183</v>
      </c>
      <c r="AB83" s="41" t="n">
        <v>2013</v>
      </c>
      <c r="AC83" s="84" t="s">
        <v>184</v>
      </c>
      <c r="AE83" s="19" t="n">
        <v>270.5</v>
      </c>
      <c r="AK83" s="66" t="n">
        <f aca="false">1070/J83*1000000000000</f>
        <v>4280000000000000</v>
      </c>
      <c r="AL83" s="85" t="s">
        <v>185</v>
      </c>
      <c r="AM83" s="19" t="s">
        <v>116</v>
      </c>
      <c r="AO83" s="40"/>
      <c r="AQ83" s="26" t="n">
        <v>8.4</v>
      </c>
      <c r="AR83" s="26" t="n">
        <v>8.4</v>
      </c>
      <c r="AS83" s="26" t="n">
        <v>8.4</v>
      </c>
      <c r="AU83" s="19" t="n">
        <v>0</v>
      </c>
      <c r="AW83" s="19" t="s">
        <v>117</v>
      </c>
      <c r="AX83" s="69" t="n">
        <v>0</v>
      </c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14.4" hidden="false" customHeight="false" outlineLevel="0" collapsed="false">
      <c r="A84" s="80" t="n">
        <f aca="false">(B84/83)*100</f>
        <v>1.40963855421687</v>
      </c>
      <c r="B84" s="79" t="n">
        <v>1.17</v>
      </c>
      <c r="C84" s="79"/>
      <c r="D84" s="14" t="n">
        <f aca="false">E84/I84</f>
        <v>0.290708737864078</v>
      </c>
      <c r="E84" s="15" t="n">
        <f aca="false">(G84+F84)/2/H84</f>
        <v>149.715</v>
      </c>
      <c r="F84" s="38" t="n">
        <v>131.749</v>
      </c>
      <c r="G84" s="17" t="n">
        <v>167.681</v>
      </c>
      <c r="H84" s="39" t="n">
        <v>1</v>
      </c>
      <c r="I84" s="19" t="n">
        <v>515</v>
      </c>
      <c r="J84" s="64" t="n">
        <v>0.25</v>
      </c>
      <c r="N84" s="64" t="n">
        <v>11</v>
      </c>
      <c r="O84" s="64"/>
      <c r="P84" s="64"/>
      <c r="Q84" s="19" t="n">
        <f aca="false">M84*N84</f>
        <v>0</v>
      </c>
      <c r="R84" s="21" t="n">
        <f aca="false">A84*N84</f>
        <v>15.5060240963855</v>
      </c>
      <c r="T84" s="22" t="n">
        <f aca="false">(G84-F84)/H84/E84</f>
        <v>0.240002671742978</v>
      </c>
      <c r="V84" s="0"/>
      <c r="W84" s="0"/>
      <c r="X84" s="0"/>
      <c r="Y84" s="0"/>
      <c r="Z84" s="40" t="s">
        <v>182</v>
      </c>
      <c r="AA84" s="19" t="s">
        <v>183</v>
      </c>
      <c r="AB84" s="41" t="n">
        <v>2013</v>
      </c>
      <c r="AC84" s="84" t="s">
        <v>184</v>
      </c>
      <c r="AE84" s="19" t="n">
        <v>270.5</v>
      </c>
      <c r="AK84" s="66" t="n">
        <f aca="false">1070/J84*1000000000000</f>
        <v>4280000000000000</v>
      </c>
      <c r="AL84" s="85" t="s">
        <v>185</v>
      </c>
      <c r="AM84" s="19" t="s">
        <v>116</v>
      </c>
      <c r="AO84" s="40"/>
      <c r="AQ84" s="26" t="n">
        <v>8.4</v>
      </c>
      <c r="AR84" s="26" t="n">
        <v>8.4</v>
      </c>
      <c r="AS84" s="26" t="n">
        <v>8.4</v>
      </c>
      <c r="AU84" s="19" t="n">
        <v>0</v>
      </c>
      <c r="AW84" s="19" t="s">
        <v>117</v>
      </c>
      <c r="AX84" s="69" t="n">
        <v>0</v>
      </c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14.4" hidden="false" customHeight="false" outlineLevel="0" collapsed="false">
      <c r="A85" s="80" t="n">
        <f aca="false">(B85/83)*100</f>
        <v>1.40963855421687</v>
      </c>
      <c r="B85" s="79" t="n">
        <v>1.17</v>
      </c>
      <c r="C85" s="79"/>
      <c r="D85" s="14" t="n">
        <f aca="false">E85/I85</f>
        <v>0.290708737864078</v>
      </c>
      <c r="E85" s="15" t="n">
        <f aca="false">(G85+F85)/2/H85</f>
        <v>149.715</v>
      </c>
      <c r="F85" s="38" t="n">
        <v>139.734</v>
      </c>
      <c r="G85" s="17" t="n">
        <v>159.696</v>
      </c>
      <c r="H85" s="39" t="n">
        <v>1</v>
      </c>
      <c r="I85" s="19" t="n">
        <v>515</v>
      </c>
      <c r="J85" s="64" t="n">
        <v>0.25</v>
      </c>
      <c r="N85" s="64" t="n">
        <v>12</v>
      </c>
      <c r="O85" s="64"/>
      <c r="P85" s="64"/>
      <c r="Q85" s="19" t="n">
        <f aca="false">M85*N85</f>
        <v>0</v>
      </c>
      <c r="R85" s="21" t="n">
        <f aca="false">A85*N85</f>
        <v>16.9156626506024</v>
      </c>
      <c r="T85" s="22" t="n">
        <f aca="false">(G85-F85)/H85/E85</f>
        <v>0.133333333333333</v>
      </c>
      <c r="V85" s="0"/>
      <c r="W85" s="0"/>
      <c r="X85" s="0"/>
      <c r="Y85" s="0"/>
      <c r="Z85" s="40" t="s">
        <v>182</v>
      </c>
      <c r="AA85" s="19" t="s">
        <v>183</v>
      </c>
      <c r="AB85" s="41" t="n">
        <v>2013</v>
      </c>
      <c r="AC85" s="84" t="s">
        <v>184</v>
      </c>
      <c r="AE85" s="19" t="n">
        <v>270.5</v>
      </c>
      <c r="AK85" s="66" t="n">
        <f aca="false">1070/J85*1000000000000</f>
        <v>4280000000000000</v>
      </c>
      <c r="AL85" s="85" t="s">
        <v>185</v>
      </c>
      <c r="AM85" s="19" t="s">
        <v>116</v>
      </c>
      <c r="AO85" s="40"/>
      <c r="AQ85" s="26" t="n">
        <v>8.4</v>
      </c>
      <c r="AR85" s="26" t="n">
        <v>8.4</v>
      </c>
      <c r="AS85" s="26" t="n">
        <v>8.4</v>
      </c>
      <c r="AU85" s="19" t="n">
        <v>0</v>
      </c>
      <c r="AW85" s="19" t="s">
        <v>117</v>
      </c>
      <c r="AX85" s="69" t="n">
        <v>0</v>
      </c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4.4" hidden="false" customHeight="false" outlineLevel="0" collapsed="false">
      <c r="A86" s="80" t="n">
        <f aca="false">(B86/83)*100</f>
        <v>1.40963855421687</v>
      </c>
      <c r="B86" s="79" t="n">
        <v>1.17</v>
      </c>
      <c r="C86" s="79"/>
      <c r="D86" s="14" t="n">
        <f aca="false">E86/I86</f>
        <v>0.201557572815534</v>
      </c>
      <c r="E86" s="15" t="n">
        <f aca="false">(G86+F86)/2/H86</f>
        <v>103.80215</v>
      </c>
      <c r="F86" s="38" t="n">
        <v>83.8403</v>
      </c>
      <c r="G86" s="17" t="n">
        <v>123.764</v>
      </c>
      <c r="H86" s="39" t="n">
        <v>1</v>
      </c>
      <c r="I86" s="19" t="n">
        <v>515</v>
      </c>
      <c r="J86" s="64" t="n">
        <v>0.25</v>
      </c>
      <c r="N86" s="64" t="n">
        <v>15</v>
      </c>
      <c r="O86" s="64"/>
      <c r="P86" s="64"/>
      <c r="Q86" s="19" t="n">
        <f aca="false">M86*N86</f>
        <v>0</v>
      </c>
      <c r="R86" s="21" t="n">
        <f aca="false">A86*N86</f>
        <v>21.144578313253</v>
      </c>
      <c r="T86" s="22" t="n">
        <f aca="false">(G86-F86)/H86/E86</f>
        <v>0.384613420820282</v>
      </c>
      <c r="V86" s="0"/>
      <c r="W86" s="0"/>
      <c r="X86" s="0"/>
      <c r="Y86" s="0"/>
      <c r="Z86" s="40" t="s">
        <v>182</v>
      </c>
      <c r="AA86" s="19" t="s">
        <v>183</v>
      </c>
      <c r="AB86" s="41" t="n">
        <v>2013</v>
      </c>
      <c r="AC86" s="84" t="s">
        <v>184</v>
      </c>
      <c r="AE86" s="19" t="n">
        <v>270.5</v>
      </c>
      <c r="AK86" s="66" t="n">
        <f aca="false">1070/J86*1000000000000</f>
        <v>4280000000000000</v>
      </c>
      <c r="AL86" s="85" t="s">
        <v>185</v>
      </c>
      <c r="AM86" s="19" t="s">
        <v>116</v>
      </c>
      <c r="AO86" s="40"/>
      <c r="AQ86" s="26" t="n">
        <v>8.4</v>
      </c>
      <c r="AR86" s="26" t="n">
        <v>8.4</v>
      </c>
      <c r="AS86" s="26" t="n">
        <v>8.4</v>
      </c>
      <c r="AU86" s="19" t="n">
        <v>0</v>
      </c>
      <c r="AW86" s="19" t="s">
        <v>117</v>
      </c>
      <c r="AX86" s="69" t="n">
        <v>0</v>
      </c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14.4" hidden="false" customHeight="false" outlineLevel="0" collapsed="false">
      <c r="A87" s="80" t="n">
        <f aca="false">(B87/83)*100</f>
        <v>1.40963855421687</v>
      </c>
      <c r="B87" s="79" t="n">
        <v>1.17</v>
      </c>
      <c r="C87" s="79"/>
      <c r="D87" s="14" t="n">
        <f aca="false">E87/I87</f>
        <v>0.273911650485437</v>
      </c>
      <c r="E87" s="15" t="n">
        <f aca="false">(G87+F87)/2/H87</f>
        <v>141.0645</v>
      </c>
      <c r="F87" s="38" t="n">
        <v>115.779</v>
      </c>
      <c r="G87" s="17" t="n">
        <v>166.35</v>
      </c>
      <c r="H87" s="39" t="n">
        <v>1</v>
      </c>
      <c r="I87" s="19" t="n">
        <v>515</v>
      </c>
      <c r="J87" s="64" t="n">
        <v>0.25</v>
      </c>
      <c r="N87" s="64" t="n">
        <v>5</v>
      </c>
      <c r="O87" s="64"/>
      <c r="P87" s="64"/>
      <c r="Q87" s="19" t="n">
        <f aca="false">M87*N87</f>
        <v>0</v>
      </c>
      <c r="R87" s="21" t="n">
        <f aca="false">A87*N87</f>
        <v>7.04819277108434</v>
      </c>
      <c r="T87" s="22" t="n">
        <f aca="false">(G87-F87)/H87/E87</f>
        <v>0.358495581808322</v>
      </c>
      <c r="V87" s="0"/>
      <c r="W87" s="0"/>
      <c r="X87" s="0"/>
      <c r="Y87" s="0"/>
      <c r="Z87" s="40" t="s">
        <v>182</v>
      </c>
      <c r="AA87" s="19" t="s">
        <v>183</v>
      </c>
      <c r="AB87" s="41" t="n">
        <v>2013</v>
      </c>
      <c r="AC87" s="84" t="s">
        <v>184</v>
      </c>
      <c r="AE87" s="19" t="n">
        <v>270.5</v>
      </c>
      <c r="AK87" s="66" t="n">
        <f aca="false">1070/J87*1000000000000</f>
        <v>4280000000000000</v>
      </c>
      <c r="AL87" s="85" t="s">
        <v>185</v>
      </c>
      <c r="AM87" s="19" t="s">
        <v>116</v>
      </c>
      <c r="AO87" s="40"/>
      <c r="AQ87" s="26" t="n">
        <v>8.4</v>
      </c>
      <c r="AR87" s="26" t="n">
        <v>8.4</v>
      </c>
      <c r="AS87" s="26" t="n">
        <v>8.4</v>
      </c>
      <c r="AU87" s="19" t="n">
        <v>0</v>
      </c>
      <c r="AW87" s="19" t="s">
        <v>117</v>
      </c>
      <c r="AX87" s="69" t="n">
        <v>0</v>
      </c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14.4" hidden="false" customHeight="false" outlineLevel="0" collapsed="false">
      <c r="A88" s="80" t="n">
        <f aca="false">(B88/83)*100</f>
        <v>1.40963855421687</v>
      </c>
      <c r="B88" s="79" t="n">
        <v>1.17</v>
      </c>
      <c r="C88" s="79"/>
      <c r="D88" s="14" t="n">
        <f aca="false">E88/I88</f>
        <v>0.262283495145631</v>
      </c>
      <c r="E88" s="15" t="n">
        <f aca="false">(G88+F88)/2/H88</f>
        <v>135.076</v>
      </c>
      <c r="F88" s="38" t="n">
        <v>118.441</v>
      </c>
      <c r="G88" s="17" t="n">
        <v>151.711</v>
      </c>
      <c r="H88" s="39" t="n">
        <v>1</v>
      </c>
      <c r="I88" s="19" t="n">
        <v>515</v>
      </c>
      <c r="J88" s="64" t="n">
        <v>0.25</v>
      </c>
      <c r="N88" s="64" t="n">
        <v>6</v>
      </c>
      <c r="O88" s="64"/>
      <c r="P88" s="64"/>
      <c r="Q88" s="19" t="n">
        <f aca="false">M88*N88</f>
        <v>0</v>
      </c>
      <c r="R88" s="21" t="n">
        <f aca="false">A88*N88</f>
        <v>8.45783132530121</v>
      </c>
      <c r="T88" s="22" t="n">
        <f aca="false">(G88-F88)/H88/E88</f>
        <v>0.246305783410821</v>
      </c>
      <c r="V88" s="0"/>
      <c r="W88" s="0"/>
      <c r="X88" s="0"/>
      <c r="Y88" s="0"/>
      <c r="Z88" s="40" t="s">
        <v>182</v>
      </c>
      <c r="AA88" s="19" t="s">
        <v>183</v>
      </c>
      <c r="AB88" s="41" t="n">
        <v>2013</v>
      </c>
      <c r="AC88" s="84" t="s">
        <v>184</v>
      </c>
      <c r="AE88" s="19" t="n">
        <v>270.5</v>
      </c>
      <c r="AK88" s="66" t="n">
        <f aca="false">1070/J88*1000000000000</f>
        <v>4280000000000000</v>
      </c>
      <c r="AL88" s="85" t="s">
        <v>185</v>
      </c>
      <c r="AM88" s="19" t="s">
        <v>116</v>
      </c>
      <c r="AO88" s="40"/>
      <c r="AQ88" s="26" t="n">
        <v>8.4</v>
      </c>
      <c r="AR88" s="26" t="n">
        <v>8.4</v>
      </c>
      <c r="AS88" s="26" t="n">
        <v>8.4</v>
      </c>
      <c r="AU88" s="19" t="n">
        <v>0</v>
      </c>
      <c r="AW88" s="19" t="s">
        <v>117</v>
      </c>
      <c r="AX88" s="69" t="n">
        <v>0</v>
      </c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4.4" hidden="false" customHeight="false" outlineLevel="0" collapsed="false">
      <c r="A89" s="80" t="n">
        <f aca="false">(B89/83)*100</f>
        <v>1.40963855421687</v>
      </c>
      <c r="B89" s="79" t="n">
        <v>1.17</v>
      </c>
      <c r="C89" s="79"/>
      <c r="D89" s="14" t="n">
        <f aca="false">E89/I89</f>
        <v>0.273911650485437</v>
      </c>
      <c r="E89" s="15" t="n">
        <f aca="false">(G89+F89)/2/H89</f>
        <v>141.0645</v>
      </c>
      <c r="F89" s="38" t="n">
        <v>118.441</v>
      </c>
      <c r="G89" s="17" t="n">
        <v>163.688</v>
      </c>
      <c r="H89" s="39" t="n">
        <v>1</v>
      </c>
      <c r="I89" s="19" t="n">
        <v>515</v>
      </c>
      <c r="J89" s="64" t="n">
        <v>0.25</v>
      </c>
      <c r="N89" s="64" t="n">
        <v>7</v>
      </c>
      <c r="O89" s="64"/>
      <c r="P89" s="64"/>
      <c r="Q89" s="19" t="n">
        <f aca="false">M89*N89</f>
        <v>0</v>
      </c>
      <c r="R89" s="21" t="n">
        <f aca="false">A89*N89</f>
        <v>9.86746987951807</v>
      </c>
      <c r="T89" s="22" t="n">
        <f aca="false">(G89-F89)/H89/E89</f>
        <v>0.320753981334779</v>
      </c>
      <c r="V89" s="0"/>
      <c r="W89" s="0"/>
      <c r="X89" s="0"/>
      <c r="Y89" s="0"/>
      <c r="Z89" s="40" t="s">
        <v>182</v>
      </c>
      <c r="AA89" s="19" t="s">
        <v>183</v>
      </c>
      <c r="AB89" s="41" t="n">
        <v>2013</v>
      </c>
      <c r="AC89" s="84" t="s">
        <v>184</v>
      </c>
      <c r="AE89" s="19" t="n">
        <v>270.5</v>
      </c>
      <c r="AK89" s="66" t="n">
        <f aca="false">1070/J89*1000000000000</f>
        <v>4280000000000000</v>
      </c>
      <c r="AL89" s="85" t="s">
        <v>185</v>
      </c>
      <c r="AM89" s="19" t="s">
        <v>116</v>
      </c>
      <c r="AO89" s="40"/>
      <c r="AQ89" s="26" t="n">
        <v>8.4</v>
      </c>
      <c r="AR89" s="26" t="n">
        <v>8.4</v>
      </c>
      <c r="AS89" s="26" t="n">
        <v>8.4</v>
      </c>
      <c r="AU89" s="19" t="n">
        <v>0</v>
      </c>
      <c r="AW89" s="19" t="s">
        <v>117</v>
      </c>
      <c r="AX89" s="69" t="n">
        <v>0</v>
      </c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  <row r="90" customFormat="false" ht="14.4" hidden="false" customHeight="false" outlineLevel="0" collapsed="false">
      <c r="A90" s="80" t="n">
        <f aca="false">(B90/83)*100</f>
        <v>1.40963855421687</v>
      </c>
      <c r="B90" s="79" t="n">
        <v>1.17</v>
      </c>
      <c r="C90" s="79"/>
      <c r="D90" s="14" t="n">
        <f aca="false">E90/I90</f>
        <v>0.280371844660194</v>
      </c>
      <c r="E90" s="15" t="n">
        <f aca="false">(G90+F90)/2/H90</f>
        <v>144.3915</v>
      </c>
      <c r="F90" s="38" t="n">
        <v>130.418</v>
      </c>
      <c r="G90" s="17" t="n">
        <v>158.365</v>
      </c>
      <c r="H90" s="39" t="n">
        <v>1</v>
      </c>
      <c r="I90" s="19" t="n">
        <v>515</v>
      </c>
      <c r="J90" s="64" t="n">
        <v>0.25</v>
      </c>
      <c r="N90" s="64" t="n">
        <v>8</v>
      </c>
      <c r="O90" s="64"/>
      <c r="P90" s="64"/>
      <c r="Q90" s="19" t="n">
        <f aca="false">M90*N90</f>
        <v>0</v>
      </c>
      <c r="R90" s="21" t="n">
        <f aca="false">A90*N90</f>
        <v>11.2771084337349</v>
      </c>
      <c r="T90" s="22" t="n">
        <f aca="false">(G90-F90)/H90/E90</f>
        <v>0.193550174352368</v>
      </c>
      <c r="V90" s="0"/>
      <c r="W90" s="0"/>
      <c r="X90" s="0"/>
      <c r="Y90" s="0"/>
      <c r="Z90" s="40" t="s">
        <v>182</v>
      </c>
      <c r="AA90" s="19" t="s">
        <v>183</v>
      </c>
      <c r="AB90" s="41" t="n">
        <v>2013</v>
      </c>
      <c r="AC90" s="84" t="s">
        <v>184</v>
      </c>
      <c r="AE90" s="19" t="n">
        <v>270.5</v>
      </c>
      <c r="AK90" s="66" t="n">
        <f aca="false">1070/J90*1000000000000</f>
        <v>4280000000000000</v>
      </c>
      <c r="AL90" s="85" t="s">
        <v>185</v>
      </c>
      <c r="AM90" s="19" t="s">
        <v>116</v>
      </c>
      <c r="AO90" s="40"/>
      <c r="AQ90" s="26" t="n">
        <v>8.4</v>
      </c>
      <c r="AR90" s="26" t="n">
        <v>8.4</v>
      </c>
      <c r="AS90" s="26" t="n">
        <v>8.4</v>
      </c>
      <c r="AU90" s="19" t="n">
        <v>0</v>
      </c>
      <c r="AW90" s="19" t="s">
        <v>117</v>
      </c>
      <c r="AX90" s="69" t="n">
        <v>0</v>
      </c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</row>
    <row r="91" customFormat="false" ht="14.4" hidden="false" customHeight="false" outlineLevel="0" collapsed="false">
      <c r="A91" s="80" t="n">
        <f aca="false">(B91/83)*100</f>
        <v>1.40963855421687</v>
      </c>
      <c r="B91" s="79" t="n">
        <v>1.17</v>
      </c>
      <c r="C91" s="79"/>
      <c r="D91" s="14" t="n">
        <f aca="false">E91/I91</f>
        <v>0.271327184466019</v>
      </c>
      <c r="E91" s="15" t="n">
        <f aca="false">(G91+F91)/2/H91</f>
        <v>139.7335</v>
      </c>
      <c r="F91" s="38" t="n">
        <v>115.779</v>
      </c>
      <c r="G91" s="17" t="n">
        <v>163.688</v>
      </c>
      <c r="H91" s="39" t="n">
        <v>1</v>
      </c>
      <c r="I91" s="19" t="n">
        <v>515</v>
      </c>
      <c r="J91" s="64" t="n">
        <v>0.25</v>
      </c>
      <c r="N91" s="64" t="n">
        <v>9</v>
      </c>
      <c r="O91" s="64"/>
      <c r="P91" s="64"/>
      <c r="Q91" s="19" t="n">
        <f aca="false">M91*N91</f>
        <v>0</v>
      </c>
      <c r="R91" s="21" t="n">
        <f aca="false">A91*N91</f>
        <v>12.6867469879518</v>
      </c>
      <c r="T91" s="22" t="n">
        <f aca="false">(G91-F91)/H91/E91</f>
        <v>0.342859800978291</v>
      </c>
      <c r="V91" s="0"/>
      <c r="W91" s="0"/>
      <c r="X91" s="0"/>
      <c r="Y91" s="0"/>
      <c r="Z91" s="40" t="s">
        <v>182</v>
      </c>
      <c r="AA91" s="19" t="s">
        <v>183</v>
      </c>
      <c r="AB91" s="41" t="n">
        <v>2013</v>
      </c>
      <c r="AC91" s="84" t="s">
        <v>184</v>
      </c>
      <c r="AE91" s="19" t="n">
        <v>270.5</v>
      </c>
      <c r="AK91" s="66" t="n">
        <f aca="false">1070/J91*1000000000000</f>
        <v>4280000000000000</v>
      </c>
      <c r="AL91" s="85" t="s">
        <v>185</v>
      </c>
      <c r="AM91" s="19" t="s">
        <v>116</v>
      </c>
      <c r="AO91" s="40"/>
      <c r="AQ91" s="26" t="n">
        <v>8.4</v>
      </c>
      <c r="AR91" s="26" t="n">
        <v>8.4</v>
      </c>
      <c r="AS91" s="26" t="n">
        <v>8.4</v>
      </c>
      <c r="AU91" s="19" t="n">
        <v>0</v>
      </c>
      <c r="AW91" s="19" t="s">
        <v>117</v>
      </c>
      <c r="AX91" s="69" t="n">
        <v>0</v>
      </c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customFormat="false" ht="14.4" hidden="false" customHeight="false" outlineLevel="0" collapsed="false">
      <c r="A92" s="80" t="n">
        <f aca="false">(B92/83)*100</f>
        <v>1.40963855421687</v>
      </c>
      <c r="B92" s="79" t="n">
        <v>1.17</v>
      </c>
      <c r="C92" s="79"/>
      <c r="D92" s="14" t="n">
        <f aca="false">E92/I92</f>
        <v>0.294584466019417</v>
      </c>
      <c r="E92" s="15" t="n">
        <f aca="false">(G92+F92)/2/H92</f>
        <v>151.711</v>
      </c>
      <c r="F92" s="38" t="n">
        <v>126.426</v>
      </c>
      <c r="G92" s="17" t="n">
        <v>176.996</v>
      </c>
      <c r="H92" s="39" t="n">
        <v>1</v>
      </c>
      <c r="I92" s="19" t="n">
        <v>515</v>
      </c>
      <c r="J92" s="64" t="n">
        <v>0.25</v>
      </c>
      <c r="N92" s="64" t="n">
        <v>10</v>
      </c>
      <c r="O92" s="64"/>
      <c r="P92" s="64"/>
      <c r="Q92" s="19" t="n">
        <f aca="false">M92*N92</f>
        <v>0</v>
      </c>
      <c r="R92" s="21" t="n">
        <f aca="false">A92*N92</f>
        <v>14.0963855421687</v>
      </c>
      <c r="T92" s="22" t="n">
        <f aca="false">(G92-F92)/H92/E92</f>
        <v>0.333331136173382</v>
      </c>
      <c r="V92" s="0"/>
      <c r="W92" s="0"/>
      <c r="X92" s="0"/>
      <c r="Y92" s="0"/>
      <c r="Z92" s="40" t="s">
        <v>182</v>
      </c>
      <c r="AA92" s="19" t="s">
        <v>183</v>
      </c>
      <c r="AB92" s="41" t="n">
        <v>2013</v>
      </c>
      <c r="AC92" s="84" t="s">
        <v>184</v>
      </c>
      <c r="AE92" s="19" t="n">
        <v>270.5</v>
      </c>
      <c r="AK92" s="66" t="n">
        <f aca="false">1070/J92*1000000000000</f>
        <v>4280000000000000</v>
      </c>
      <c r="AL92" s="85" t="s">
        <v>185</v>
      </c>
      <c r="AM92" s="19" t="s">
        <v>116</v>
      </c>
      <c r="AO92" s="40"/>
      <c r="AQ92" s="26" t="n">
        <v>8.4</v>
      </c>
      <c r="AR92" s="26" t="n">
        <v>8.4</v>
      </c>
      <c r="AS92" s="26" t="n">
        <v>8.4</v>
      </c>
      <c r="AU92" s="19" t="n">
        <v>0</v>
      </c>
      <c r="AW92" s="19" t="s">
        <v>117</v>
      </c>
      <c r="AX92" s="69" t="n">
        <v>0</v>
      </c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4.4" hidden="false" customHeight="false" outlineLevel="0" collapsed="false">
      <c r="A93" s="80" t="n">
        <f aca="false">(B93/83)*100</f>
        <v>1.40963855421687</v>
      </c>
      <c r="B93" s="79" t="n">
        <v>1.17</v>
      </c>
      <c r="C93" s="79"/>
      <c r="D93" s="14" t="n">
        <f aca="false">E93/I93</f>
        <v>0.285540776699029</v>
      </c>
      <c r="E93" s="15" t="n">
        <f aca="false">(G93+F93)/2/H93</f>
        <v>147.0535</v>
      </c>
      <c r="F93" s="38" t="n">
        <v>126.426</v>
      </c>
      <c r="G93" s="17" t="n">
        <v>167.681</v>
      </c>
      <c r="H93" s="39" t="n">
        <v>1</v>
      </c>
      <c r="I93" s="19" t="n">
        <v>515</v>
      </c>
      <c r="J93" s="64" t="n">
        <v>0.25</v>
      </c>
      <c r="N93" s="64" t="n">
        <v>11</v>
      </c>
      <c r="O93" s="64"/>
      <c r="P93" s="64"/>
      <c r="Q93" s="19" t="n">
        <f aca="false">M93*N93</f>
        <v>0</v>
      </c>
      <c r="R93" s="21" t="n">
        <f aca="false">A93*N93</f>
        <v>15.5060240963855</v>
      </c>
      <c r="T93" s="22" t="n">
        <f aca="false">(G93-F93)/H93/E93</f>
        <v>0.280544155698436</v>
      </c>
      <c r="V93" s="0"/>
      <c r="W93" s="0"/>
      <c r="X93" s="0"/>
      <c r="Y93" s="0"/>
      <c r="Z93" s="40" t="s">
        <v>182</v>
      </c>
      <c r="AA93" s="19" t="s">
        <v>183</v>
      </c>
      <c r="AB93" s="41" t="n">
        <v>2013</v>
      </c>
      <c r="AC93" s="84" t="s">
        <v>184</v>
      </c>
      <c r="AE93" s="19" t="n">
        <v>270.5</v>
      </c>
      <c r="AK93" s="66" t="n">
        <f aca="false">1070/J93*1000000000000</f>
        <v>4280000000000000</v>
      </c>
      <c r="AL93" s="85" t="s">
        <v>185</v>
      </c>
      <c r="AM93" s="19" t="s">
        <v>116</v>
      </c>
      <c r="AO93" s="40"/>
      <c r="AQ93" s="26" t="n">
        <v>8.4</v>
      </c>
      <c r="AR93" s="26" t="n">
        <v>8.4</v>
      </c>
      <c r="AS93" s="26" t="n">
        <v>8.4</v>
      </c>
      <c r="AU93" s="19" t="n">
        <v>0</v>
      </c>
      <c r="AW93" s="19" t="s">
        <v>117</v>
      </c>
      <c r="AX93" s="69" t="n">
        <v>0</v>
      </c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</row>
    <row r="94" customFormat="false" ht="14.4" hidden="false" customHeight="false" outlineLevel="0" collapsed="false">
      <c r="A94" s="80" t="n">
        <f aca="false">(B94/83)*100</f>
        <v>1.40963855421687</v>
      </c>
      <c r="B94" s="79" t="n">
        <v>1.17</v>
      </c>
      <c r="C94" s="79"/>
      <c r="D94" s="14" t="n">
        <f aca="false">E94/I94</f>
        <v>0.232566990291262</v>
      </c>
      <c r="E94" s="15" t="n">
        <f aca="false">(G94+F94)/2/H94</f>
        <v>119.772</v>
      </c>
      <c r="F94" s="38" t="n">
        <v>107.795</v>
      </c>
      <c r="G94" s="17" t="n">
        <v>131.749</v>
      </c>
      <c r="H94" s="39" t="n">
        <v>1</v>
      </c>
      <c r="I94" s="19" t="n">
        <v>515</v>
      </c>
      <c r="J94" s="64" t="n">
        <v>0.25</v>
      </c>
      <c r="N94" s="64" t="n">
        <v>12</v>
      </c>
      <c r="O94" s="64"/>
      <c r="P94" s="64"/>
      <c r="Q94" s="19" t="n">
        <f aca="false">M94*N94</f>
        <v>0</v>
      </c>
      <c r="R94" s="21" t="n">
        <f aca="false">A94*N94</f>
        <v>16.9156626506024</v>
      </c>
      <c r="T94" s="22" t="n">
        <f aca="false">(G94-F94)/H94/E94</f>
        <v>0.199996660321277</v>
      </c>
      <c r="V94" s="0"/>
      <c r="W94" s="0"/>
      <c r="X94" s="0"/>
      <c r="Y94" s="0"/>
      <c r="Z94" s="40" t="s">
        <v>182</v>
      </c>
      <c r="AA94" s="19" t="s">
        <v>183</v>
      </c>
      <c r="AB94" s="41" t="n">
        <v>2013</v>
      </c>
      <c r="AC94" s="84" t="s">
        <v>184</v>
      </c>
      <c r="AE94" s="19" t="n">
        <v>270.5</v>
      </c>
      <c r="AK94" s="66" t="n">
        <f aca="false">1070/J94*1000000000000</f>
        <v>4280000000000000</v>
      </c>
      <c r="AL94" s="85" t="s">
        <v>185</v>
      </c>
      <c r="AM94" s="19" t="s">
        <v>116</v>
      </c>
      <c r="AO94" s="40"/>
      <c r="AQ94" s="26" t="n">
        <v>8.4</v>
      </c>
      <c r="AR94" s="26" t="n">
        <v>8.4</v>
      </c>
      <c r="AS94" s="26" t="n">
        <v>8.4</v>
      </c>
      <c r="AU94" s="19" t="n">
        <v>0</v>
      </c>
      <c r="AW94" s="19" t="s">
        <v>117</v>
      </c>
      <c r="AX94" s="69" t="n">
        <v>0</v>
      </c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</row>
    <row r="95" customFormat="false" ht="14.4" hidden="false" customHeight="false" outlineLevel="0" collapsed="false">
      <c r="A95" s="80" t="n">
        <f aca="false">(B95/83)*100</f>
        <v>1.40963855421687</v>
      </c>
      <c r="B95" s="79" t="n">
        <v>1.17</v>
      </c>
      <c r="C95" s="79"/>
      <c r="D95" s="14" t="n">
        <f aca="false">E95/I95</f>
        <v>0.264867961165049</v>
      </c>
      <c r="E95" s="15" t="n">
        <f aca="false">(G95+F95)/2/H95</f>
        <v>136.407</v>
      </c>
      <c r="F95" s="38" t="n">
        <v>105.133</v>
      </c>
      <c r="G95" s="17" t="n">
        <v>167.681</v>
      </c>
      <c r="H95" s="39" t="n">
        <v>1</v>
      </c>
      <c r="I95" s="19" t="n">
        <v>515</v>
      </c>
      <c r="J95" s="64" t="n">
        <v>0.25</v>
      </c>
      <c r="N95" s="64" t="n">
        <v>13</v>
      </c>
      <c r="O95" s="64"/>
      <c r="P95" s="64"/>
      <c r="Q95" s="19" t="n">
        <f aca="false">M95*N95</f>
        <v>0</v>
      </c>
      <c r="R95" s="21" t="n">
        <f aca="false">A95*N95</f>
        <v>18.3253012048193</v>
      </c>
      <c r="T95" s="22" t="n">
        <f aca="false">(G95-F95)/H95/E95</f>
        <v>0.458539517766684</v>
      </c>
      <c r="V95" s="0"/>
      <c r="W95" s="0"/>
      <c r="X95" s="0"/>
      <c r="Y95" s="0"/>
      <c r="Z95" s="40" t="s">
        <v>182</v>
      </c>
      <c r="AA95" s="19" t="s">
        <v>183</v>
      </c>
      <c r="AB95" s="41" t="n">
        <v>2013</v>
      </c>
      <c r="AC95" s="84" t="s">
        <v>184</v>
      </c>
      <c r="AE95" s="19" t="n">
        <v>270.5</v>
      </c>
      <c r="AK95" s="66" t="n">
        <f aca="false">1070/J95*1000000000000</f>
        <v>4280000000000000</v>
      </c>
      <c r="AL95" s="85" t="s">
        <v>185</v>
      </c>
      <c r="AM95" s="19" t="s">
        <v>116</v>
      </c>
      <c r="AO95" s="40"/>
      <c r="AQ95" s="26" t="n">
        <v>8.4</v>
      </c>
      <c r="AR95" s="26" t="n">
        <v>8.4</v>
      </c>
      <c r="AS95" s="26" t="n">
        <v>8.4</v>
      </c>
      <c r="AU95" s="19" t="n">
        <v>0</v>
      </c>
      <c r="AW95" s="19" t="s">
        <v>117</v>
      </c>
      <c r="AX95" s="69" t="n">
        <v>0</v>
      </c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</row>
    <row r="96" customFormat="false" ht="14.4" hidden="false" customHeight="false" outlineLevel="0" collapsed="false">
      <c r="A96" s="80" t="n">
        <f aca="false">(B96/83)*100</f>
        <v>1.40963855421687</v>
      </c>
      <c r="B96" s="79" t="n">
        <v>1.17</v>
      </c>
      <c r="C96" s="79"/>
      <c r="D96" s="14" t="n">
        <f aca="false">E96/I96</f>
        <v>0.347558252427184</v>
      </c>
      <c r="E96" s="15" t="n">
        <f aca="false">(G96+F96)/2/H96</f>
        <v>178.9925</v>
      </c>
      <c r="F96" s="38" t="n">
        <v>151.711</v>
      </c>
      <c r="G96" s="17" t="n">
        <v>206.274</v>
      </c>
      <c r="H96" s="39" t="n">
        <v>1</v>
      </c>
      <c r="I96" s="19" t="n">
        <v>515</v>
      </c>
      <c r="J96" s="64" t="n">
        <v>0.25</v>
      </c>
      <c r="N96" s="64" t="n">
        <v>14</v>
      </c>
      <c r="O96" s="64"/>
      <c r="P96" s="64"/>
      <c r="Q96" s="19" t="n">
        <f aca="false">M96*N96</f>
        <v>0</v>
      </c>
      <c r="R96" s="21" t="n">
        <f aca="false">A96*N96</f>
        <v>19.7349397590361</v>
      </c>
      <c r="T96" s="22" t="n">
        <f aca="false">(G96-F96)/H96/E96</f>
        <v>0.304834001424641</v>
      </c>
      <c r="V96" s="0"/>
      <c r="W96" s="0"/>
      <c r="X96" s="0"/>
      <c r="Y96" s="0"/>
      <c r="Z96" s="40" t="s">
        <v>182</v>
      </c>
      <c r="AA96" s="19" t="s">
        <v>183</v>
      </c>
      <c r="AB96" s="41" t="n">
        <v>2013</v>
      </c>
      <c r="AC96" s="84" t="s">
        <v>184</v>
      </c>
      <c r="AE96" s="19" t="n">
        <v>270.5</v>
      </c>
      <c r="AK96" s="66" t="n">
        <f aca="false">1070/J96*1000000000000</f>
        <v>4280000000000000</v>
      </c>
      <c r="AL96" s="85" t="s">
        <v>185</v>
      </c>
      <c r="AM96" s="19" t="s">
        <v>116</v>
      </c>
      <c r="AO96" s="40"/>
      <c r="AQ96" s="26" t="n">
        <v>8.4</v>
      </c>
      <c r="AR96" s="26" t="n">
        <v>8.4</v>
      </c>
      <c r="AS96" s="26" t="n">
        <v>8.4</v>
      </c>
      <c r="AU96" s="19" t="n">
        <v>0</v>
      </c>
      <c r="AW96" s="19" t="s">
        <v>117</v>
      </c>
      <c r="AX96" s="69" t="n">
        <v>0</v>
      </c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14.4" hidden="false" customHeight="false" outlineLevel="0" collapsed="false">
      <c r="A97" s="80" t="n">
        <f aca="false">(B97/83)*100</f>
        <v>1.40963855421687</v>
      </c>
      <c r="B97" s="79" t="n">
        <v>1.17</v>
      </c>
      <c r="C97" s="79"/>
      <c r="D97" s="14" t="n">
        <f aca="false">E97/I97</f>
        <v>0.303629126213592</v>
      </c>
      <c r="E97" s="15" t="n">
        <f aca="false">(G97+F97)/2/H97</f>
        <v>156.369</v>
      </c>
      <c r="F97" s="38" t="n">
        <v>145.057</v>
      </c>
      <c r="G97" s="17" t="n">
        <v>167.681</v>
      </c>
      <c r="H97" s="39" t="n">
        <v>1</v>
      </c>
      <c r="I97" s="19" t="n">
        <v>515</v>
      </c>
      <c r="J97" s="64" t="n">
        <v>0.25</v>
      </c>
      <c r="N97" s="64" t="n">
        <v>15</v>
      </c>
      <c r="O97" s="64"/>
      <c r="P97" s="64"/>
      <c r="Q97" s="19" t="n">
        <f aca="false">M97*N97</f>
        <v>0</v>
      </c>
      <c r="R97" s="21" t="n">
        <f aca="false">A97*N97</f>
        <v>21.144578313253</v>
      </c>
      <c r="T97" s="22" t="n">
        <f aca="false">(G97-F97)/H97/E97</f>
        <v>0.144683409115618</v>
      </c>
      <c r="V97" s="0"/>
      <c r="W97" s="0"/>
      <c r="X97" s="0"/>
      <c r="Y97" s="0"/>
      <c r="Z97" s="40" t="s">
        <v>182</v>
      </c>
      <c r="AA97" s="19" t="s">
        <v>183</v>
      </c>
      <c r="AB97" s="41" t="n">
        <v>2013</v>
      </c>
      <c r="AC97" s="84" t="s">
        <v>184</v>
      </c>
      <c r="AE97" s="19" t="n">
        <v>270.5</v>
      </c>
      <c r="AK97" s="66" t="n">
        <f aca="false">1070/J97*1000000000000</f>
        <v>4280000000000000</v>
      </c>
      <c r="AL97" s="85" t="s">
        <v>185</v>
      </c>
      <c r="AM97" s="19" t="s">
        <v>116</v>
      </c>
      <c r="AO97" s="40"/>
      <c r="AQ97" s="26" t="n">
        <v>8.4</v>
      </c>
      <c r="AR97" s="26" t="n">
        <v>8.4</v>
      </c>
      <c r="AS97" s="26" t="n">
        <v>8.4</v>
      </c>
      <c r="AU97" s="19" t="n">
        <v>0</v>
      </c>
      <c r="AW97" s="19" t="s">
        <v>117</v>
      </c>
      <c r="AX97" s="69" t="n">
        <v>0</v>
      </c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14.4" hidden="false" customHeight="false" outlineLevel="0" collapsed="false">
      <c r="A98" s="80" t="n">
        <f aca="false">(B98/83)*100</f>
        <v>1.40963855421687</v>
      </c>
      <c r="B98" s="79" t="n">
        <v>1.17</v>
      </c>
      <c r="C98" s="79"/>
      <c r="D98" s="14" t="n">
        <f aca="false">E98/I98</f>
        <v>0.279079611650485</v>
      </c>
      <c r="E98" s="15" t="n">
        <f aca="false">(G98+F98)/2/H98</f>
        <v>143.726</v>
      </c>
      <c r="F98" s="38" t="n">
        <v>130.418</v>
      </c>
      <c r="G98" s="17" t="n">
        <v>157.034</v>
      </c>
      <c r="H98" s="39" t="n">
        <v>1</v>
      </c>
      <c r="I98" s="19" t="n">
        <v>515</v>
      </c>
      <c r="J98" s="64" t="n">
        <v>0.25</v>
      </c>
      <c r="N98" s="64" t="n">
        <v>16</v>
      </c>
      <c r="O98" s="64"/>
      <c r="P98" s="64"/>
      <c r="Q98" s="19" t="n">
        <f aca="false">M98*N98</f>
        <v>0</v>
      </c>
      <c r="R98" s="21" t="n">
        <f aca="false">A98*N98</f>
        <v>22.5542168674699</v>
      </c>
      <c r="T98" s="22" t="n">
        <f aca="false">(G98-F98)/H98/E98</f>
        <v>0.185185700569138</v>
      </c>
      <c r="V98" s="0"/>
      <c r="W98" s="0"/>
      <c r="X98" s="0"/>
      <c r="Y98" s="0"/>
      <c r="Z98" s="40" t="s">
        <v>182</v>
      </c>
      <c r="AA98" s="19" t="s">
        <v>183</v>
      </c>
      <c r="AB98" s="41" t="n">
        <v>2013</v>
      </c>
      <c r="AC98" s="84" t="s">
        <v>184</v>
      </c>
      <c r="AE98" s="19" t="n">
        <v>270.5</v>
      </c>
      <c r="AK98" s="66" t="n">
        <f aca="false">1070/J98*1000000000000</f>
        <v>4280000000000000</v>
      </c>
      <c r="AL98" s="85" t="s">
        <v>185</v>
      </c>
      <c r="AM98" s="19" t="s">
        <v>116</v>
      </c>
      <c r="AO98" s="40"/>
      <c r="AQ98" s="26" t="n">
        <v>8.4</v>
      </c>
      <c r="AR98" s="26" t="n">
        <v>8.4</v>
      </c>
      <c r="AS98" s="26" t="n">
        <v>8.4</v>
      </c>
      <c r="AU98" s="19" t="n">
        <v>0</v>
      </c>
      <c r="AW98" s="19" t="s">
        <v>117</v>
      </c>
      <c r="AX98" s="69" t="n">
        <v>0</v>
      </c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</row>
    <row r="99" customFormat="false" ht="14.4" hidden="false" customHeight="false" outlineLevel="0" collapsed="false">
      <c r="A99" s="80" t="n">
        <f aca="false">(B99/83)*100</f>
        <v>1.40963855421687</v>
      </c>
      <c r="B99" s="79" t="n">
        <v>1.17</v>
      </c>
      <c r="C99" s="79"/>
      <c r="D99" s="14" t="n">
        <f aca="false">E99/I99</f>
        <v>0.323009708737864</v>
      </c>
      <c r="E99" s="15" t="n">
        <f aca="false">(G99+F99)/2/H99</f>
        <v>166.35</v>
      </c>
      <c r="F99" s="38" t="n">
        <v>147.719</v>
      </c>
      <c r="G99" s="17" t="n">
        <v>184.981</v>
      </c>
      <c r="H99" s="39" t="n">
        <v>1</v>
      </c>
      <c r="I99" s="19" t="n">
        <v>515</v>
      </c>
      <c r="J99" s="64" t="n">
        <v>0.25</v>
      </c>
      <c r="N99" s="64" t="n">
        <v>17</v>
      </c>
      <c r="O99" s="64"/>
      <c r="P99" s="64"/>
      <c r="Q99" s="19" t="n">
        <f aca="false">M99*N99</f>
        <v>0</v>
      </c>
      <c r="R99" s="21" t="n">
        <f aca="false">A99*N99</f>
        <v>23.9638554216867</v>
      </c>
      <c r="T99" s="22" t="n">
        <f aca="false">(G99-F99)/H99/E99</f>
        <v>0.223997595431319</v>
      </c>
      <c r="V99" s="0"/>
      <c r="W99" s="0"/>
      <c r="X99" s="0"/>
      <c r="Y99" s="0"/>
      <c r="Z99" s="40" t="s">
        <v>182</v>
      </c>
      <c r="AA99" s="19" t="s">
        <v>183</v>
      </c>
      <c r="AB99" s="41" t="n">
        <v>2013</v>
      </c>
      <c r="AC99" s="84" t="s">
        <v>184</v>
      </c>
      <c r="AE99" s="19" t="n">
        <v>270.5</v>
      </c>
      <c r="AK99" s="66" t="n">
        <f aca="false">1070/J99*1000000000000</f>
        <v>4280000000000000</v>
      </c>
      <c r="AL99" s="85" t="s">
        <v>185</v>
      </c>
      <c r="AM99" s="19" t="s">
        <v>116</v>
      </c>
      <c r="AO99" s="40"/>
      <c r="AQ99" s="26" t="n">
        <v>8.4</v>
      </c>
      <c r="AR99" s="26" t="n">
        <v>8.4</v>
      </c>
      <c r="AS99" s="26" t="n">
        <v>8.4</v>
      </c>
      <c r="AU99" s="19" t="n">
        <v>0</v>
      </c>
      <c r="AW99" s="19" t="s">
        <v>117</v>
      </c>
      <c r="AX99" s="69" t="n">
        <v>0</v>
      </c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customFormat="false" ht="14.4" hidden="false" customHeight="false" outlineLevel="0" collapsed="false">
      <c r="A100" s="80" t="n">
        <f aca="false">(B100/83)*100</f>
        <v>1.40963855421687</v>
      </c>
      <c r="B100" s="79" t="n">
        <v>1.17</v>
      </c>
      <c r="C100" s="79"/>
      <c r="D100" s="14" t="n">
        <f aca="false">E100/I100</f>
        <v>0.321716504854369</v>
      </c>
      <c r="E100" s="15" t="n">
        <f aca="false">(G100+F100)/2/H100</f>
        <v>165.684</v>
      </c>
      <c r="F100" s="38" t="n">
        <v>155.703</v>
      </c>
      <c r="G100" s="17" t="n">
        <v>175.665</v>
      </c>
      <c r="H100" s="39" t="n">
        <v>1</v>
      </c>
      <c r="I100" s="19" t="n">
        <v>515</v>
      </c>
      <c r="J100" s="64" t="n">
        <v>0.25</v>
      </c>
      <c r="N100" s="64" t="n">
        <v>18</v>
      </c>
      <c r="O100" s="64"/>
      <c r="P100" s="64"/>
      <c r="Q100" s="19" t="n">
        <f aca="false">M100*N100</f>
        <v>0</v>
      </c>
      <c r="R100" s="21" t="n">
        <f aca="false">A100*N100</f>
        <v>25.3734939759036</v>
      </c>
      <c r="T100" s="22" t="n">
        <f aca="false">(G100-F100)/H100/E100</f>
        <v>0.120482364018252</v>
      </c>
      <c r="V100" s="0"/>
      <c r="W100" s="0"/>
      <c r="X100" s="0"/>
      <c r="Y100" s="0"/>
      <c r="Z100" s="40" t="s">
        <v>182</v>
      </c>
      <c r="AA100" s="19" t="s">
        <v>183</v>
      </c>
      <c r="AB100" s="41" t="n">
        <v>2013</v>
      </c>
      <c r="AC100" s="84" t="s">
        <v>184</v>
      </c>
      <c r="AE100" s="19" t="n">
        <v>270.5</v>
      </c>
      <c r="AK100" s="66" t="n">
        <f aca="false">1070/J100*1000000000000</f>
        <v>4280000000000000</v>
      </c>
      <c r="AL100" s="85" t="s">
        <v>185</v>
      </c>
      <c r="AM100" s="19" t="s">
        <v>116</v>
      </c>
      <c r="AO100" s="40"/>
      <c r="AQ100" s="26" t="n">
        <v>8.4</v>
      </c>
      <c r="AR100" s="26" t="n">
        <v>8.4</v>
      </c>
      <c r="AS100" s="26" t="n">
        <v>8.4</v>
      </c>
      <c r="AU100" s="19" t="n">
        <v>0</v>
      </c>
      <c r="AW100" s="19" t="s">
        <v>117</v>
      </c>
      <c r="AX100" s="69" t="n">
        <v>0</v>
      </c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14.4" hidden="false" customHeight="false" outlineLevel="0" collapsed="false">
      <c r="A101" s="80" t="n">
        <f aca="false">(B101/83)*100</f>
        <v>1.40963855421687</v>
      </c>
      <c r="B101" s="79" t="n">
        <v>1.17</v>
      </c>
      <c r="C101" s="79"/>
      <c r="D101" s="14" t="n">
        <f aca="false">E101/I101</f>
        <v>0.789434951456311</v>
      </c>
      <c r="E101" s="15" t="n">
        <f aca="false">(G101+F101)/2/H101</f>
        <v>406.559</v>
      </c>
      <c r="F101" s="38" t="n">
        <v>383.27</v>
      </c>
      <c r="G101" s="17" t="n">
        <v>429.848</v>
      </c>
      <c r="H101" s="39" t="n">
        <v>1</v>
      </c>
      <c r="I101" s="19" t="n">
        <v>515</v>
      </c>
      <c r="J101" s="64" t="n">
        <v>0.25</v>
      </c>
      <c r="N101" s="64" t="n">
        <v>11</v>
      </c>
      <c r="O101" s="64"/>
      <c r="P101" s="64"/>
      <c r="Q101" s="19" t="n">
        <f aca="false">M101*N101</f>
        <v>0</v>
      </c>
      <c r="R101" s="21" t="n">
        <f aca="false">A101*N101</f>
        <v>15.5060240963855</v>
      </c>
      <c r="T101" s="22" t="n">
        <f aca="false">(G101-F101)/H101/E101</f>
        <v>0.114566397497042</v>
      </c>
      <c r="V101" s="0"/>
      <c r="W101" s="0"/>
      <c r="X101" s="0"/>
      <c r="Y101" s="0"/>
      <c r="Z101" s="40" t="s">
        <v>182</v>
      </c>
      <c r="AA101" s="19" t="s">
        <v>183</v>
      </c>
      <c r="AB101" s="41" t="n">
        <v>2013</v>
      </c>
      <c r="AC101" s="84" t="s">
        <v>184</v>
      </c>
      <c r="AE101" s="19" t="n">
        <v>270.5</v>
      </c>
      <c r="AK101" s="66" t="n">
        <f aca="false">1070/J101*1000000000000</f>
        <v>4280000000000000</v>
      </c>
      <c r="AL101" s="85" t="s">
        <v>185</v>
      </c>
      <c r="AM101" s="19" t="s">
        <v>116</v>
      </c>
      <c r="AO101" s="40"/>
      <c r="AQ101" s="26" t="n">
        <v>8.4</v>
      </c>
      <c r="AR101" s="26" t="n">
        <v>8.4</v>
      </c>
      <c r="AS101" s="26" t="n">
        <v>8.4</v>
      </c>
      <c r="AU101" s="19" t="n">
        <v>0</v>
      </c>
      <c r="AW101" s="19" t="s">
        <v>117</v>
      </c>
      <c r="AX101" s="69" t="n">
        <v>0</v>
      </c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</row>
    <row r="102" customFormat="false" ht="14.4" hidden="false" customHeight="false" outlineLevel="0" collapsed="false">
      <c r="A102" s="80" t="n">
        <f aca="false">(B102/83)*100</f>
        <v>1.40963855421687</v>
      </c>
      <c r="B102" s="79" t="n">
        <v>1.17</v>
      </c>
      <c r="C102" s="79"/>
      <c r="D102" s="14" t="n">
        <f aca="false">E102/I102</f>
        <v>0.846284466019417</v>
      </c>
      <c r="E102" s="15" t="n">
        <f aca="false">(G102+F102)/2/H102</f>
        <v>435.8365</v>
      </c>
      <c r="F102" s="38" t="n">
        <v>400.57</v>
      </c>
      <c r="G102" s="17" t="n">
        <v>471.103</v>
      </c>
      <c r="H102" s="39" t="n">
        <v>1</v>
      </c>
      <c r="I102" s="19" t="n">
        <v>515</v>
      </c>
      <c r="J102" s="64" t="n">
        <v>0.25</v>
      </c>
      <c r="N102" s="64" t="n">
        <v>12</v>
      </c>
      <c r="O102" s="64"/>
      <c r="P102" s="64"/>
      <c r="Q102" s="19" t="n">
        <f aca="false">M102*N102</f>
        <v>0</v>
      </c>
      <c r="R102" s="21" t="n">
        <f aca="false">A102*N102</f>
        <v>16.9156626506024</v>
      </c>
      <c r="T102" s="22" t="n">
        <f aca="false">(G102-F102)/H102/E102</f>
        <v>0.161833623388587</v>
      </c>
      <c r="V102" s="0"/>
      <c r="W102" s="0"/>
      <c r="X102" s="0"/>
      <c r="Y102" s="0"/>
      <c r="Z102" s="40" t="s">
        <v>182</v>
      </c>
      <c r="AA102" s="19" t="s">
        <v>183</v>
      </c>
      <c r="AB102" s="41" t="n">
        <v>2013</v>
      </c>
      <c r="AC102" s="84" t="s">
        <v>184</v>
      </c>
      <c r="AE102" s="19" t="n">
        <v>270.5</v>
      </c>
      <c r="AK102" s="66" t="n">
        <f aca="false">1070/J102*1000000000000</f>
        <v>4280000000000000</v>
      </c>
      <c r="AL102" s="85" t="s">
        <v>185</v>
      </c>
      <c r="AM102" s="19" t="s">
        <v>116</v>
      </c>
      <c r="AO102" s="40"/>
      <c r="AQ102" s="26" t="n">
        <v>8.4</v>
      </c>
      <c r="AR102" s="26" t="n">
        <v>8.4</v>
      </c>
      <c r="AS102" s="26" t="n">
        <v>8.4</v>
      </c>
      <c r="AU102" s="19" t="n">
        <v>0</v>
      </c>
      <c r="AW102" s="19" t="s">
        <v>117</v>
      </c>
      <c r="AX102" s="69" t="n">
        <v>0</v>
      </c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</row>
    <row r="103" customFormat="false" ht="14.4" hidden="false" customHeight="false" outlineLevel="0" collapsed="false">
      <c r="A103" s="80" t="n">
        <f aca="false">(B103/83)*100</f>
        <v>1.40963855421687</v>
      </c>
      <c r="B103" s="79" t="n">
        <v>1.17</v>
      </c>
      <c r="C103" s="79"/>
      <c r="D103" s="14" t="n">
        <f aca="false">E103/I103</f>
        <v>0.837240776699029</v>
      </c>
      <c r="E103" s="15" t="n">
        <f aca="false">(G103+F103)/2/H103</f>
        <v>431.179</v>
      </c>
      <c r="F103" s="38" t="n">
        <v>392.586</v>
      </c>
      <c r="G103" s="17" t="n">
        <v>469.772</v>
      </c>
      <c r="H103" s="39" t="n">
        <v>1</v>
      </c>
      <c r="I103" s="19" t="n">
        <v>515</v>
      </c>
      <c r="J103" s="64" t="n">
        <v>0.25</v>
      </c>
      <c r="N103" s="64" t="n">
        <v>13</v>
      </c>
      <c r="O103" s="64"/>
      <c r="P103" s="64"/>
      <c r="Q103" s="19" t="n">
        <f aca="false">M103*N103</f>
        <v>0</v>
      </c>
      <c r="R103" s="21" t="n">
        <f aca="false">A103*N103</f>
        <v>18.3253012048193</v>
      </c>
      <c r="T103" s="22" t="n">
        <f aca="false">(G103-F103)/H103/E103</f>
        <v>0.179011501023937</v>
      </c>
      <c r="V103" s="0"/>
      <c r="W103" s="0"/>
      <c r="X103" s="0"/>
      <c r="Y103" s="0"/>
      <c r="Z103" s="40" t="s">
        <v>182</v>
      </c>
      <c r="AA103" s="19" t="s">
        <v>183</v>
      </c>
      <c r="AB103" s="41" t="n">
        <v>2013</v>
      </c>
      <c r="AC103" s="84" t="s">
        <v>184</v>
      </c>
      <c r="AE103" s="19" t="n">
        <v>270.5</v>
      </c>
      <c r="AK103" s="66" t="n">
        <f aca="false">1070/J103*1000000000000</f>
        <v>4280000000000000</v>
      </c>
      <c r="AL103" s="85" t="s">
        <v>185</v>
      </c>
      <c r="AM103" s="19" t="s">
        <v>116</v>
      </c>
      <c r="AO103" s="40"/>
      <c r="AQ103" s="26" t="n">
        <v>8.4</v>
      </c>
      <c r="AR103" s="26" t="n">
        <v>8.4</v>
      </c>
      <c r="AS103" s="26" t="n">
        <v>8.4</v>
      </c>
      <c r="AU103" s="19" t="n">
        <v>0</v>
      </c>
      <c r="AW103" s="19" t="s">
        <v>117</v>
      </c>
      <c r="AX103" s="69" t="n">
        <v>0</v>
      </c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</row>
    <row r="104" customFormat="false" ht="14.4" hidden="false" customHeight="false" outlineLevel="0" collapsed="false">
      <c r="A104" s="80" t="n">
        <f aca="false">(B104/83)*100</f>
        <v>1.40963855421687</v>
      </c>
      <c r="B104" s="79" t="n">
        <v>1.17</v>
      </c>
      <c r="C104" s="79"/>
      <c r="D104" s="14" t="n">
        <f aca="false">E104/I104</f>
        <v>1.03363009708738</v>
      </c>
      <c r="E104" s="15" t="n">
        <f aca="false">(G104+F104)/2/H104</f>
        <v>532.3195</v>
      </c>
      <c r="F104" s="38" t="n">
        <v>481.749</v>
      </c>
      <c r="G104" s="17" t="n">
        <v>582.89</v>
      </c>
      <c r="H104" s="39" t="n">
        <v>1</v>
      </c>
      <c r="I104" s="19" t="n">
        <v>515</v>
      </c>
      <c r="J104" s="64" t="n">
        <v>0.25</v>
      </c>
      <c r="N104" s="64" t="n">
        <v>14</v>
      </c>
      <c r="O104" s="64"/>
      <c r="P104" s="64"/>
      <c r="Q104" s="19" t="n">
        <f aca="false">M104*N104</f>
        <v>0</v>
      </c>
      <c r="R104" s="21" t="n">
        <f aca="false">A104*N104</f>
        <v>19.7349397590361</v>
      </c>
      <c r="T104" s="22" t="n">
        <f aca="false">(G104-F104)/H104/E104</f>
        <v>0.190000554178459</v>
      </c>
      <c r="V104" s="0"/>
      <c r="W104" s="0"/>
      <c r="X104" s="0"/>
      <c r="Y104" s="0"/>
      <c r="Z104" s="40" t="s">
        <v>182</v>
      </c>
      <c r="AA104" s="19" t="s">
        <v>183</v>
      </c>
      <c r="AB104" s="41" t="n">
        <v>2013</v>
      </c>
      <c r="AC104" s="84" t="s">
        <v>184</v>
      </c>
      <c r="AE104" s="19" t="n">
        <v>270.5</v>
      </c>
      <c r="AK104" s="66" t="n">
        <f aca="false">1070/J104*1000000000000</f>
        <v>4280000000000000</v>
      </c>
      <c r="AL104" s="85" t="s">
        <v>185</v>
      </c>
      <c r="AM104" s="19" t="s">
        <v>116</v>
      </c>
      <c r="AO104" s="40"/>
      <c r="AQ104" s="26" t="n">
        <v>8.4</v>
      </c>
      <c r="AR104" s="26" t="n">
        <v>8.4</v>
      </c>
      <c r="AS104" s="26" t="n">
        <v>8.4</v>
      </c>
      <c r="AU104" s="19" t="n">
        <v>0</v>
      </c>
      <c r="AW104" s="19" t="s">
        <v>117</v>
      </c>
      <c r="AX104" s="69" t="n">
        <v>0</v>
      </c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</row>
    <row r="105" customFormat="false" ht="14.4" hidden="false" customHeight="false" outlineLevel="0" collapsed="false">
      <c r="A105" s="80" t="n">
        <f aca="false">(B105/83)*100</f>
        <v>1.40963855421687</v>
      </c>
      <c r="B105" s="79" t="n">
        <v>1.17</v>
      </c>
      <c r="C105" s="79"/>
      <c r="D105" s="14" t="n">
        <f aca="false">E105/I105</f>
        <v>0.947063106796116</v>
      </c>
      <c r="E105" s="15" t="n">
        <f aca="false">(G105+F105)/2/H105</f>
        <v>487.7375</v>
      </c>
      <c r="F105" s="38" t="n">
        <v>449.81</v>
      </c>
      <c r="G105" s="17" t="n">
        <v>525.665</v>
      </c>
      <c r="H105" s="39" t="n">
        <v>1</v>
      </c>
      <c r="I105" s="19" t="n">
        <v>515</v>
      </c>
      <c r="J105" s="64" t="n">
        <v>0.25</v>
      </c>
      <c r="N105" s="64" t="n">
        <v>15</v>
      </c>
      <c r="O105" s="64"/>
      <c r="P105" s="64"/>
      <c r="Q105" s="19" t="n">
        <f aca="false">M105*N105</f>
        <v>0</v>
      </c>
      <c r="R105" s="21" t="n">
        <f aca="false">A105*N105</f>
        <v>21.144578313253</v>
      </c>
      <c r="T105" s="22" t="n">
        <f aca="false">(G105-F105)/H105/E105</f>
        <v>0.155524231784515</v>
      </c>
      <c r="V105" s="0"/>
      <c r="W105" s="0"/>
      <c r="X105" s="0"/>
      <c r="Y105" s="0"/>
      <c r="Z105" s="40" t="s">
        <v>182</v>
      </c>
      <c r="AA105" s="19" t="s">
        <v>183</v>
      </c>
      <c r="AB105" s="41" t="n">
        <v>2013</v>
      </c>
      <c r="AC105" s="84" t="s">
        <v>184</v>
      </c>
      <c r="AE105" s="19" t="n">
        <v>270.5</v>
      </c>
      <c r="AK105" s="66" t="n">
        <f aca="false">1070/J105*1000000000000</f>
        <v>4280000000000000</v>
      </c>
      <c r="AL105" s="85" t="s">
        <v>185</v>
      </c>
      <c r="AM105" s="19" t="s">
        <v>116</v>
      </c>
      <c r="AO105" s="40"/>
      <c r="AQ105" s="26" t="n">
        <v>8.4</v>
      </c>
      <c r="AR105" s="26" t="n">
        <v>8.4</v>
      </c>
      <c r="AS105" s="26" t="n">
        <v>8.4</v>
      </c>
      <c r="AU105" s="19" t="n">
        <v>0</v>
      </c>
      <c r="AW105" s="19" t="s">
        <v>117</v>
      </c>
      <c r="AX105" s="69" t="n">
        <v>0</v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</row>
    <row r="106" customFormat="false" ht="14.4" hidden="false" customHeight="false" outlineLevel="0" collapsed="false">
      <c r="A106" s="80" t="n">
        <f aca="false">(B106/83)*100</f>
        <v>1.40963855421687</v>
      </c>
      <c r="B106" s="79" t="n">
        <v>1.17</v>
      </c>
      <c r="C106" s="79"/>
      <c r="D106" s="14" t="n">
        <f aca="false">E106/I106</f>
        <v>0.952232038834951</v>
      </c>
      <c r="E106" s="15" t="n">
        <f aca="false">(G106+F106)/2/H106</f>
        <v>490.3995</v>
      </c>
      <c r="F106" s="38" t="n">
        <v>457.795</v>
      </c>
      <c r="G106" s="17" t="n">
        <v>523.004</v>
      </c>
      <c r="H106" s="39" t="n">
        <v>1</v>
      </c>
      <c r="I106" s="19" t="n">
        <v>515</v>
      </c>
      <c r="J106" s="64" t="n">
        <v>0.25</v>
      </c>
      <c r="N106" s="64" t="n">
        <v>16</v>
      </c>
      <c r="O106" s="64"/>
      <c r="P106" s="64"/>
      <c r="Q106" s="19" t="n">
        <f aca="false">M106*N106</f>
        <v>0</v>
      </c>
      <c r="R106" s="21" t="n">
        <f aca="false">A106*N106</f>
        <v>22.5542168674699</v>
      </c>
      <c r="T106" s="22" t="n">
        <f aca="false">(G106-F106)/H106/E106</f>
        <v>0.132971179619881</v>
      </c>
      <c r="V106" s="0"/>
      <c r="W106" s="0"/>
      <c r="X106" s="0"/>
      <c r="Y106" s="0"/>
      <c r="Z106" s="40" t="s">
        <v>182</v>
      </c>
      <c r="AA106" s="19" t="s">
        <v>183</v>
      </c>
      <c r="AB106" s="41" t="n">
        <v>2013</v>
      </c>
      <c r="AC106" s="84" t="s">
        <v>184</v>
      </c>
      <c r="AE106" s="19" t="n">
        <v>270.5</v>
      </c>
      <c r="AK106" s="66" t="n">
        <f aca="false">1070/J106*1000000000000</f>
        <v>4280000000000000</v>
      </c>
      <c r="AL106" s="85" t="s">
        <v>185</v>
      </c>
      <c r="AM106" s="19" t="s">
        <v>116</v>
      </c>
      <c r="AO106" s="40"/>
      <c r="AQ106" s="26" t="n">
        <v>8.4</v>
      </c>
      <c r="AR106" s="26" t="n">
        <v>8.4</v>
      </c>
      <c r="AS106" s="26" t="n">
        <v>8.4</v>
      </c>
      <c r="AU106" s="19" t="n">
        <v>0</v>
      </c>
      <c r="AW106" s="19" t="s">
        <v>117</v>
      </c>
      <c r="AX106" s="69" t="n">
        <v>0</v>
      </c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  <c r="OJ106" s="0"/>
      <c r="OK106" s="0"/>
      <c r="OL106" s="0"/>
      <c r="OM106" s="0"/>
      <c r="ON106" s="0"/>
      <c r="OO106" s="0"/>
      <c r="OP106" s="0"/>
      <c r="OQ106" s="0"/>
      <c r="OR106" s="0"/>
      <c r="OS106" s="0"/>
      <c r="OT106" s="0"/>
      <c r="OU106" s="0"/>
      <c r="OV106" s="0"/>
      <c r="OW106" s="0"/>
      <c r="OX106" s="0"/>
      <c r="OY106" s="0"/>
      <c r="OZ106" s="0"/>
      <c r="PA106" s="0"/>
      <c r="PB106" s="0"/>
      <c r="PC106" s="0"/>
      <c r="PD106" s="0"/>
      <c r="PE106" s="0"/>
      <c r="PF106" s="0"/>
      <c r="PG106" s="0"/>
      <c r="PH106" s="0"/>
      <c r="PI106" s="0"/>
      <c r="PJ106" s="0"/>
      <c r="PK106" s="0"/>
      <c r="PL106" s="0"/>
      <c r="PM106" s="0"/>
      <c r="PN106" s="0"/>
      <c r="PO106" s="0"/>
      <c r="PP106" s="0"/>
      <c r="PQ106" s="0"/>
      <c r="PR106" s="0"/>
      <c r="PS106" s="0"/>
      <c r="PT106" s="0"/>
      <c r="PU106" s="0"/>
      <c r="PV106" s="0"/>
      <c r="PW106" s="0"/>
      <c r="PX106" s="0"/>
      <c r="PY106" s="0"/>
      <c r="PZ106" s="0"/>
      <c r="QA106" s="0"/>
      <c r="QB106" s="0"/>
      <c r="QC106" s="0"/>
      <c r="QD106" s="0"/>
      <c r="QE106" s="0"/>
      <c r="QF106" s="0"/>
      <c r="QG106" s="0"/>
      <c r="QH106" s="0"/>
      <c r="QI106" s="0"/>
      <c r="QJ106" s="0"/>
      <c r="QK106" s="0"/>
      <c r="QL106" s="0"/>
      <c r="QM106" s="0"/>
      <c r="QN106" s="0"/>
      <c r="QO106" s="0"/>
      <c r="QP106" s="0"/>
      <c r="QQ106" s="0"/>
      <c r="QR106" s="0"/>
      <c r="QS106" s="0"/>
      <c r="QT106" s="0"/>
      <c r="QU106" s="0"/>
      <c r="QV106" s="0"/>
      <c r="QW106" s="0"/>
      <c r="QX106" s="0"/>
      <c r="QY106" s="0"/>
      <c r="QZ106" s="0"/>
      <c r="RA106" s="0"/>
      <c r="RB106" s="0"/>
      <c r="RC106" s="0"/>
      <c r="RD106" s="0"/>
      <c r="RE106" s="0"/>
      <c r="RF106" s="0"/>
      <c r="RG106" s="0"/>
      <c r="RH106" s="0"/>
      <c r="RI106" s="0"/>
      <c r="RJ106" s="0"/>
      <c r="RK106" s="0"/>
      <c r="RL106" s="0"/>
      <c r="RM106" s="0"/>
      <c r="RN106" s="0"/>
      <c r="RO106" s="0"/>
      <c r="RP106" s="0"/>
      <c r="RQ106" s="0"/>
      <c r="RR106" s="0"/>
      <c r="RS106" s="0"/>
      <c r="RT106" s="0"/>
      <c r="RU106" s="0"/>
      <c r="RV106" s="0"/>
      <c r="RW106" s="0"/>
      <c r="RX106" s="0"/>
      <c r="RY106" s="0"/>
      <c r="RZ106" s="0"/>
      <c r="SA106" s="0"/>
      <c r="SB106" s="0"/>
      <c r="SC106" s="0"/>
      <c r="SD106" s="0"/>
      <c r="SE106" s="0"/>
      <c r="SF106" s="0"/>
      <c r="SG106" s="0"/>
      <c r="SH106" s="0"/>
      <c r="SI106" s="0"/>
      <c r="SJ106" s="0"/>
      <c r="SK106" s="0"/>
      <c r="SL106" s="0"/>
      <c r="SM106" s="0"/>
      <c r="SN106" s="0"/>
      <c r="SO106" s="0"/>
      <c r="SP106" s="0"/>
      <c r="SQ106" s="0"/>
      <c r="SR106" s="0"/>
      <c r="SS106" s="0"/>
      <c r="ST106" s="0"/>
      <c r="SU106" s="0"/>
      <c r="SV106" s="0"/>
      <c r="SW106" s="0"/>
      <c r="SX106" s="0"/>
      <c r="SY106" s="0"/>
      <c r="SZ106" s="0"/>
      <c r="TA106" s="0"/>
      <c r="TB106" s="0"/>
      <c r="TC106" s="0"/>
      <c r="TD106" s="0"/>
      <c r="TE106" s="0"/>
      <c r="TF106" s="0"/>
      <c r="TG106" s="0"/>
      <c r="TH106" s="0"/>
      <c r="TI106" s="0"/>
      <c r="TJ106" s="0"/>
      <c r="TK106" s="0"/>
      <c r="TL106" s="0"/>
      <c r="TM106" s="0"/>
      <c r="TN106" s="0"/>
      <c r="TO106" s="0"/>
      <c r="TP106" s="0"/>
      <c r="TQ106" s="0"/>
      <c r="TR106" s="0"/>
      <c r="TS106" s="0"/>
      <c r="TT106" s="0"/>
      <c r="TU106" s="0"/>
      <c r="TV106" s="0"/>
      <c r="TW106" s="0"/>
      <c r="TX106" s="0"/>
      <c r="TY106" s="0"/>
      <c r="TZ106" s="0"/>
      <c r="UA106" s="0"/>
      <c r="UB106" s="0"/>
      <c r="UC106" s="0"/>
      <c r="UD106" s="0"/>
      <c r="UE106" s="0"/>
      <c r="UF106" s="0"/>
      <c r="UG106" s="0"/>
      <c r="UH106" s="0"/>
      <c r="UI106" s="0"/>
      <c r="UJ106" s="0"/>
      <c r="UK106" s="0"/>
      <c r="UL106" s="0"/>
      <c r="UM106" s="0"/>
      <c r="UN106" s="0"/>
      <c r="UO106" s="0"/>
      <c r="UP106" s="0"/>
      <c r="UQ106" s="0"/>
      <c r="UR106" s="0"/>
      <c r="US106" s="0"/>
      <c r="UT106" s="0"/>
      <c r="UU106" s="0"/>
      <c r="UV106" s="0"/>
      <c r="UW106" s="0"/>
      <c r="UX106" s="0"/>
      <c r="UY106" s="0"/>
      <c r="UZ106" s="0"/>
      <c r="VA106" s="0"/>
      <c r="VB106" s="0"/>
      <c r="VC106" s="0"/>
      <c r="VD106" s="0"/>
      <c r="VE106" s="0"/>
      <c r="VF106" s="0"/>
      <c r="VG106" s="0"/>
      <c r="VH106" s="0"/>
      <c r="VI106" s="0"/>
      <c r="VJ106" s="0"/>
      <c r="VK106" s="0"/>
      <c r="VL106" s="0"/>
      <c r="VM106" s="0"/>
      <c r="VN106" s="0"/>
      <c r="VO106" s="0"/>
      <c r="VP106" s="0"/>
      <c r="VQ106" s="0"/>
      <c r="VR106" s="0"/>
      <c r="VS106" s="0"/>
      <c r="VT106" s="0"/>
      <c r="VU106" s="0"/>
      <c r="VV106" s="0"/>
      <c r="VW106" s="0"/>
      <c r="VX106" s="0"/>
      <c r="VY106" s="0"/>
      <c r="VZ106" s="0"/>
      <c r="WA106" s="0"/>
      <c r="WB106" s="0"/>
      <c r="WC106" s="0"/>
      <c r="WD106" s="0"/>
      <c r="WE106" s="0"/>
      <c r="WF106" s="0"/>
      <c r="WG106" s="0"/>
      <c r="WH106" s="0"/>
      <c r="WI106" s="0"/>
      <c r="WJ106" s="0"/>
      <c r="WK106" s="0"/>
      <c r="WL106" s="0"/>
      <c r="WM106" s="0"/>
      <c r="WN106" s="0"/>
      <c r="WO106" s="0"/>
      <c r="WP106" s="0"/>
      <c r="WQ106" s="0"/>
      <c r="WR106" s="0"/>
      <c r="WS106" s="0"/>
      <c r="WT106" s="0"/>
      <c r="WU106" s="0"/>
      <c r="WV106" s="0"/>
      <c r="WW106" s="0"/>
      <c r="WX106" s="0"/>
      <c r="WY106" s="0"/>
      <c r="WZ106" s="0"/>
      <c r="XA106" s="0"/>
      <c r="XB106" s="0"/>
      <c r="XC106" s="0"/>
      <c r="XD106" s="0"/>
      <c r="XE106" s="0"/>
      <c r="XF106" s="0"/>
      <c r="XG106" s="0"/>
      <c r="XH106" s="0"/>
      <c r="XI106" s="0"/>
      <c r="XJ106" s="0"/>
      <c r="XK106" s="0"/>
      <c r="XL106" s="0"/>
      <c r="XM106" s="0"/>
      <c r="XN106" s="0"/>
      <c r="XO106" s="0"/>
      <c r="XP106" s="0"/>
      <c r="XQ106" s="0"/>
      <c r="XR106" s="0"/>
      <c r="XS106" s="0"/>
      <c r="XT106" s="0"/>
      <c r="XU106" s="0"/>
      <c r="XV106" s="0"/>
      <c r="XW106" s="0"/>
      <c r="XX106" s="0"/>
      <c r="XY106" s="0"/>
      <c r="XZ106" s="0"/>
      <c r="YA106" s="0"/>
      <c r="YB106" s="0"/>
      <c r="YC106" s="0"/>
      <c r="YD106" s="0"/>
      <c r="YE106" s="0"/>
      <c r="YF106" s="0"/>
      <c r="YG106" s="0"/>
      <c r="YH106" s="0"/>
      <c r="YI106" s="0"/>
      <c r="YJ106" s="0"/>
      <c r="YK106" s="0"/>
      <c r="YL106" s="0"/>
      <c r="YM106" s="0"/>
      <c r="YN106" s="0"/>
      <c r="YO106" s="0"/>
      <c r="YP106" s="0"/>
      <c r="YQ106" s="0"/>
      <c r="YR106" s="0"/>
      <c r="YS106" s="0"/>
      <c r="YT106" s="0"/>
      <c r="YU106" s="0"/>
      <c r="YV106" s="0"/>
      <c r="YW106" s="0"/>
      <c r="YX106" s="0"/>
      <c r="YY106" s="0"/>
      <c r="YZ106" s="0"/>
      <c r="ZA106" s="0"/>
      <c r="ZB106" s="0"/>
      <c r="ZC106" s="0"/>
      <c r="ZD106" s="0"/>
      <c r="ZE106" s="0"/>
      <c r="ZF106" s="0"/>
      <c r="ZG106" s="0"/>
      <c r="ZH106" s="0"/>
      <c r="ZI106" s="0"/>
      <c r="ZJ106" s="0"/>
      <c r="ZK106" s="0"/>
      <c r="ZL106" s="0"/>
      <c r="ZM106" s="0"/>
      <c r="ZN106" s="0"/>
      <c r="ZO106" s="0"/>
      <c r="ZP106" s="0"/>
      <c r="ZQ106" s="0"/>
      <c r="ZR106" s="0"/>
      <c r="ZS106" s="0"/>
      <c r="ZT106" s="0"/>
      <c r="ZU106" s="0"/>
      <c r="ZV106" s="0"/>
      <c r="ZW106" s="0"/>
      <c r="ZX106" s="0"/>
      <c r="ZY106" s="0"/>
      <c r="ZZ106" s="0"/>
      <c r="AAA106" s="0"/>
      <c r="AAB106" s="0"/>
      <c r="AAC106" s="0"/>
      <c r="AAD106" s="0"/>
      <c r="AAE106" s="0"/>
      <c r="AAF106" s="0"/>
      <c r="AAG106" s="0"/>
      <c r="AAH106" s="0"/>
      <c r="AAI106" s="0"/>
      <c r="AAJ106" s="0"/>
      <c r="AAK106" s="0"/>
      <c r="AAL106" s="0"/>
      <c r="AAM106" s="0"/>
      <c r="AAN106" s="0"/>
      <c r="AAO106" s="0"/>
      <c r="AAP106" s="0"/>
      <c r="AAQ106" s="0"/>
      <c r="AAR106" s="0"/>
      <c r="AAS106" s="0"/>
      <c r="AAT106" s="0"/>
      <c r="AAU106" s="0"/>
      <c r="AAV106" s="0"/>
      <c r="AAW106" s="0"/>
      <c r="AAX106" s="0"/>
      <c r="AAY106" s="0"/>
      <c r="AAZ106" s="0"/>
      <c r="ABA106" s="0"/>
      <c r="ABB106" s="0"/>
      <c r="ABC106" s="0"/>
      <c r="ABD106" s="0"/>
      <c r="ABE106" s="0"/>
      <c r="ABF106" s="0"/>
      <c r="ABG106" s="0"/>
      <c r="ABH106" s="0"/>
      <c r="ABI106" s="0"/>
      <c r="ABJ106" s="0"/>
      <c r="ABK106" s="0"/>
      <c r="ABL106" s="0"/>
      <c r="ABM106" s="0"/>
      <c r="ABN106" s="0"/>
      <c r="ABO106" s="0"/>
      <c r="ABP106" s="0"/>
      <c r="ABQ106" s="0"/>
      <c r="ABR106" s="0"/>
      <c r="ABS106" s="0"/>
      <c r="ABT106" s="0"/>
      <c r="ABU106" s="0"/>
      <c r="ABV106" s="0"/>
      <c r="ABW106" s="0"/>
      <c r="ABX106" s="0"/>
      <c r="ABY106" s="0"/>
      <c r="ABZ106" s="0"/>
      <c r="ACA106" s="0"/>
      <c r="ACB106" s="0"/>
      <c r="ACC106" s="0"/>
      <c r="ACD106" s="0"/>
      <c r="ACE106" s="0"/>
      <c r="ACF106" s="0"/>
      <c r="ACG106" s="0"/>
      <c r="ACH106" s="0"/>
      <c r="ACI106" s="0"/>
      <c r="ACJ106" s="0"/>
      <c r="ACK106" s="0"/>
      <c r="ACL106" s="0"/>
      <c r="ACM106" s="0"/>
      <c r="ACN106" s="0"/>
      <c r="ACO106" s="0"/>
      <c r="ACP106" s="0"/>
      <c r="ACQ106" s="0"/>
      <c r="ACR106" s="0"/>
      <c r="ACS106" s="0"/>
      <c r="ACT106" s="0"/>
      <c r="ACU106" s="0"/>
      <c r="ACV106" s="0"/>
      <c r="ACW106" s="0"/>
      <c r="ACX106" s="0"/>
      <c r="ACY106" s="0"/>
      <c r="ACZ106" s="0"/>
      <c r="ADA106" s="0"/>
      <c r="ADB106" s="0"/>
      <c r="ADC106" s="0"/>
      <c r="ADD106" s="0"/>
      <c r="ADE106" s="0"/>
      <c r="ADF106" s="0"/>
      <c r="ADG106" s="0"/>
      <c r="ADH106" s="0"/>
      <c r="ADI106" s="0"/>
      <c r="ADJ106" s="0"/>
      <c r="ADK106" s="0"/>
      <c r="ADL106" s="0"/>
      <c r="ADM106" s="0"/>
      <c r="ADN106" s="0"/>
      <c r="ADO106" s="0"/>
      <c r="ADP106" s="0"/>
      <c r="ADQ106" s="0"/>
      <c r="ADR106" s="0"/>
      <c r="ADS106" s="0"/>
      <c r="ADT106" s="0"/>
      <c r="ADU106" s="0"/>
      <c r="ADV106" s="0"/>
      <c r="ADW106" s="0"/>
      <c r="ADX106" s="0"/>
      <c r="ADY106" s="0"/>
      <c r="ADZ106" s="0"/>
      <c r="AEA106" s="0"/>
      <c r="AEB106" s="0"/>
      <c r="AEC106" s="0"/>
      <c r="AED106" s="0"/>
      <c r="AEE106" s="0"/>
      <c r="AEF106" s="0"/>
      <c r="AEG106" s="0"/>
      <c r="AEH106" s="0"/>
      <c r="AEI106" s="0"/>
      <c r="AEJ106" s="0"/>
      <c r="AEK106" s="0"/>
      <c r="AEL106" s="0"/>
      <c r="AEM106" s="0"/>
      <c r="AEN106" s="0"/>
      <c r="AEO106" s="0"/>
      <c r="AEP106" s="0"/>
      <c r="AEQ106" s="0"/>
      <c r="AER106" s="0"/>
      <c r="AES106" s="0"/>
      <c r="AET106" s="0"/>
      <c r="AEU106" s="0"/>
      <c r="AEV106" s="0"/>
      <c r="AEW106" s="0"/>
      <c r="AEX106" s="0"/>
      <c r="AEY106" s="0"/>
      <c r="AEZ106" s="0"/>
      <c r="AFA106" s="0"/>
      <c r="AFB106" s="0"/>
      <c r="AFC106" s="0"/>
      <c r="AFD106" s="0"/>
      <c r="AFE106" s="0"/>
      <c r="AFF106" s="0"/>
      <c r="AFG106" s="0"/>
      <c r="AFH106" s="0"/>
      <c r="AFI106" s="0"/>
      <c r="AFJ106" s="0"/>
      <c r="AFK106" s="0"/>
      <c r="AFL106" s="0"/>
      <c r="AFM106" s="0"/>
      <c r="AFN106" s="0"/>
      <c r="AFO106" s="0"/>
      <c r="AFP106" s="0"/>
      <c r="AFQ106" s="0"/>
      <c r="AFR106" s="0"/>
      <c r="AFS106" s="0"/>
      <c r="AFT106" s="0"/>
      <c r="AFU106" s="0"/>
      <c r="AFV106" s="0"/>
      <c r="AFW106" s="0"/>
      <c r="AFX106" s="0"/>
      <c r="AFY106" s="0"/>
      <c r="AFZ106" s="0"/>
      <c r="AGA106" s="0"/>
      <c r="AGB106" s="0"/>
      <c r="AGC106" s="0"/>
      <c r="AGD106" s="0"/>
      <c r="AGE106" s="0"/>
      <c r="AGF106" s="0"/>
      <c r="AGG106" s="0"/>
      <c r="AGH106" s="0"/>
      <c r="AGI106" s="0"/>
      <c r="AGJ106" s="0"/>
      <c r="AGK106" s="0"/>
      <c r="AGL106" s="0"/>
      <c r="AGM106" s="0"/>
      <c r="AGN106" s="0"/>
      <c r="AGO106" s="0"/>
      <c r="AGP106" s="0"/>
      <c r="AGQ106" s="0"/>
      <c r="AGR106" s="0"/>
      <c r="AGS106" s="0"/>
      <c r="AGT106" s="0"/>
      <c r="AGU106" s="0"/>
      <c r="AGV106" s="0"/>
      <c r="AGW106" s="0"/>
      <c r="AGX106" s="0"/>
      <c r="AGY106" s="0"/>
      <c r="AGZ106" s="0"/>
      <c r="AHA106" s="0"/>
      <c r="AHB106" s="0"/>
      <c r="AHC106" s="0"/>
      <c r="AHD106" s="0"/>
      <c r="AHE106" s="0"/>
      <c r="AHF106" s="0"/>
      <c r="AHG106" s="0"/>
      <c r="AHH106" s="0"/>
      <c r="AHI106" s="0"/>
      <c r="AHJ106" s="0"/>
      <c r="AHK106" s="0"/>
      <c r="AHL106" s="0"/>
      <c r="AHM106" s="0"/>
      <c r="AHN106" s="0"/>
      <c r="AHO106" s="0"/>
      <c r="AHP106" s="0"/>
      <c r="AHQ106" s="0"/>
      <c r="AHR106" s="0"/>
      <c r="AHS106" s="0"/>
      <c r="AHT106" s="0"/>
      <c r="AHU106" s="0"/>
      <c r="AHV106" s="0"/>
      <c r="AHW106" s="0"/>
      <c r="AHX106" s="0"/>
      <c r="AHY106" s="0"/>
      <c r="AHZ106" s="0"/>
      <c r="AIA106" s="0"/>
      <c r="AIB106" s="0"/>
      <c r="AIC106" s="0"/>
      <c r="AID106" s="0"/>
      <c r="AIE106" s="0"/>
      <c r="AIF106" s="0"/>
      <c r="AIG106" s="0"/>
      <c r="AIH106" s="0"/>
      <c r="AII106" s="0"/>
      <c r="AIJ106" s="0"/>
      <c r="AIK106" s="0"/>
      <c r="AIL106" s="0"/>
      <c r="AIM106" s="0"/>
      <c r="AIN106" s="0"/>
      <c r="AIO106" s="0"/>
      <c r="AIP106" s="0"/>
      <c r="AIQ106" s="0"/>
      <c r="AIR106" s="0"/>
      <c r="AIS106" s="0"/>
      <c r="AIT106" s="0"/>
      <c r="AIU106" s="0"/>
      <c r="AIV106" s="0"/>
      <c r="AIW106" s="0"/>
      <c r="AIX106" s="0"/>
      <c r="AIY106" s="0"/>
      <c r="AIZ106" s="0"/>
      <c r="AJA106" s="0"/>
      <c r="AJB106" s="0"/>
      <c r="AJC106" s="0"/>
      <c r="AJD106" s="0"/>
      <c r="AJE106" s="0"/>
      <c r="AJF106" s="0"/>
      <c r="AJG106" s="0"/>
      <c r="AJH106" s="0"/>
      <c r="AJI106" s="0"/>
      <c r="AJJ106" s="0"/>
      <c r="AJK106" s="0"/>
      <c r="AJL106" s="0"/>
      <c r="AJM106" s="0"/>
      <c r="AJN106" s="0"/>
      <c r="AJO106" s="0"/>
      <c r="AJP106" s="0"/>
      <c r="AJQ106" s="0"/>
      <c r="AJR106" s="0"/>
      <c r="AJS106" s="0"/>
      <c r="AJT106" s="0"/>
      <c r="AJU106" s="0"/>
      <c r="AJV106" s="0"/>
      <c r="AJW106" s="0"/>
      <c r="AJX106" s="0"/>
      <c r="AJY106" s="0"/>
      <c r="AJZ106" s="0"/>
      <c r="AKA106" s="0"/>
      <c r="AKB106" s="0"/>
      <c r="AKC106" s="0"/>
      <c r="AKD106" s="0"/>
      <c r="AKE106" s="0"/>
      <c r="AKF106" s="0"/>
      <c r="AKG106" s="0"/>
      <c r="AKH106" s="0"/>
      <c r="AKI106" s="0"/>
      <c r="AKJ106" s="0"/>
      <c r="AKK106" s="0"/>
      <c r="AKL106" s="0"/>
      <c r="AKM106" s="0"/>
      <c r="AKN106" s="0"/>
      <c r="AKO106" s="0"/>
      <c r="AKP106" s="0"/>
      <c r="AKQ106" s="0"/>
      <c r="AKR106" s="0"/>
      <c r="AKS106" s="0"/>
      <c r="AKT106" s="0"/>
      <c r="AKU106" s="0"/>
      <c r="AKV106" s="0"/>
      <c r="AKW106" s="0"/>
      <c r="AKX106" s="0"/>
      <c r="AKY106" s="0"/>
      <c r="AKZ106" s="0"/>
      <c r="ALA106" s="0"/>
      <c r="ALB106" s="0"/>
      <c r="ALC106" s="0"/>
      <c r="ALD106" s="0"/>
      <c r="ALE106" s="0"/>
      <c r="ALF106" s="0"/>
      <c r="ALG106" s="0"/>
      <c r="ALH106" s="0"/>
      <c r="ALI106" s="0"/>
      <c r="ALJ106" s="0"/>
      <c r="ALK106" s="0"/>
      <c r="ALL106" s="0"/>
      <c r="ALM106" s="0"/>
      <c r="ALN106" s="0"/>
      <c r="ALO106" s="0"/>
      <c r="ALP106" s="0"/>
      <c r="ALQ106" s="0"/>
      <c r="ALR106" s="0"/>
      <c r="ALS106" s="0"/>
      <c r="ALT106" s="0"/>
      <c r="ALU106" s="0"/>
      <c r="ALV106" s="0"/>
      <c r="ALW106" s="0"/>
      <c r="ALX106" s="0"/>
      <c r="ALY106" s="0"/>
      <c r="ALZ106" s="0"/>
      <c r="AMA106" s="0"/>
      <c r="AMB106" s="0"/>
      <c r="AMC106" s="0"/>
      <c r="AMD106" s="0"/>
      <c r="AME106" s="0"/>
      <c r="AMF106" s="0"/>
      <c r="AMG106" s="0"/>
      <c r="AMH106" s="0"/>
      <c r="AMI106" s="0"/>
      <c r="AMJ106" s="0"/>
    </row>
    <row r="107" customFormat="false" ht="14.4" hidden="false" customHeight="false" outlineLevel="0" collapsed="false">
      <c r="A107" s="80" t="n">
        <f aca="false">(B107/83)*100</f>
        <v>1.40963855421687</v>
      </c>
      <c r="B107" s="79" t="n">
        <v>1.17</v>
      </c>
      <c r="C107" s="79"/>
      <c r="D107" s="14" t="n">
        <f aca="false">E107/I107</f>
        <v>0.913470873786408</v>
      </c>
      <c r="E107" s="15" t="n">
        <f aca="false">(G107+F107)/2/H107</f>
        <v>470.4375</v>
      </c>
      <c r="F107" s="38" t="n">
        <v>443.156</v>
      </c>
      <c r="G107" s="17" t="n">
        <v>497.719</v>
      </c>
      <c r="H107" s="39" t="n">
        <v>1</v>
      </c>
      <c r="I107" s="19" t="n">
        <v>515</v>
      </c>
      <c r="J107" s="64" t="n">
        <v>0.25</v>
      </c>
      <c r="N107" s="64" t="n">
        <v>17</v>
      </c>
      <c r="O107" s="64"/>
      <c r="P107" s="64"/>
      <c r="Q107" s="19" t="n">
        <f aca="false">M107*N107</f>
        <v>0</v>
      </c>
      <c r="R107" s="21" t="n">
        <f aca="false">A107*N107</f>
        <v>23.9638554216867</v>
      </c>
      <c r="T107" s="22" t="n">
        <f aca="false">(G107-F107)/H107/E107</f>
        <v>0.115983525973163</v>
      </c>
      <c r="V107" s="0"/>
      <c r="W107" s="0"/>
      <c r="X107" s="0"/>
      <c r="Y107" s="0"/>
      <c r="Z107" s="40" t="s">
        <v>182</v>
      </c>
      <c r="AA107" s="19" t="s">
        <v>183</v>
      </c>
      <c r="AB107" s="41" t="n">
        <v>2013</v>
      </c>
      <c r="AC107" s="84" t="s">
        <v>184</v>
      </c>
      <c r="AE107" s="19" t="n">
        <v>270.5</v>
      </c>
      <c r="AK107" s="66" t="n">
        <f aca="false">1070/J107*1000000000000</f>
        <v>4280000000000000</v>
      </c>
      <c r="AL107" s="85" t="s">
        <v>185</v>
      </c>
      <c r="AM107" s="19" t="s">
        <v>116</v>
      </c>
      <c r="AO107" s="40"/>
      <c r="AQ107" s="26" t="n">
        <v>8.4</v>
      </c>
      <c r="AR107" s="26" t="n">
        <v>8.4</v>
      </c>
      <c r="AS107" s="26" t="n">
        <v>8.4</v>
      </c>
      <c r="AU107" s="19" t="n">
        <v>0</v>
      </c>
      <c r="AW107" s="19" t="s">
        <v>117</v>
      </c>
      <c r="AX107" s="69" t="n">
        <v>0</v>
      </c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/>
      <c r="YV107" s="0"/>
      <c r="YW107" s="0"/>
      <c r="YX107" s="0"/>
      <c r="YY107" s="0"/>
      <c r="YZ107" s="0"/>
      <c r="ZA107" s="0"/>
      <c r="ZB107" s="0"/>
      <c r="ZC107" s="0"/>
      <c r="ZD107" s="0"/>
      <c r="ZE107" s="0"/>
      <c r="ZF107" s="0"/>
      <c r="ZG107" s="0"/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/>
      <c r="AAM107" s="0"/>
      <c r="AAN107" s="0"/>
      <c r="AAO107" s="0"/>
      <c r="AAP107" s="0"/>
      <c r="AAQ107" s="0"/>
      <c r="AAR107" s="0"/>
      <c r="AAS107" s="0"/>
      <c r="AAT107" s="0"/>
      <c r="AAU107" s="0"/>
      <c r="AAV107" s="0"/>
      <c r="AAW107" s="0"/>
      <c r="AAX107" s="0"/>
      <c r="AAY107" s="0"/>
      <c r="AAZ107" s="0"/>
      <c r="ABA107" s="0"/>
      <c r="ABB107" s="0"/>
      <c r="ABC107" s="0"/>
      <c r="ABD107" s="0"/>
      <c r="ABE107" s="0"/>
      <c r="ABF107" s="0"/>
      <c r="ABG107" s="0"/>
      <c r="ABH107" s="0"/>
      <c r="ABI107" s="0"/>
      <c r="ABJ107" s="0"/>
      <c r="ABK107" s="0"/>
      <c r="ABL107" s="0"/>
      <c r="ABM107" s="0"/>
      <c r="ABN107" s="0"/>
      <c r="ABO107" s="0"/>
      <c r="ABP107" s="0"/>
      <c r="ABQ107" s="0"/>
      <c r="ABR107" s="0"/>
      <c r="ABS107" s="0"/>
      <c r="ABT107" s="0"/>
      <c r="ABU107" s="0"/>
      <c r="ABV107" s="0"/>
      <c r="ABW107" s="0"/>
      <c r="ABX107" s="0"/>
      <c r="ABY107" s="0"/>
      <c r="ABZ107" s="0"/>
      <c r="ACA107" s="0"/>
      <c r="ACB107" s="0"/>
      <c r="ACC107" s="0"/>
      <c r="ACD107" s="0"/>
      <c r="ACE107" s="0"/>
      <c r="ACF107" s="0"/>
      <c r="ACG107" s="0"/>
      <c r="ACH107" s="0"/>
      <c r="ACI107" s="0"/>
      <c r="ACJ107" s="0"/>
      <c r="ACK107" s="0"/>
      <c r="ACL107" s="0"/>
      <c r="ACM107" s="0"/>
      <c r="ACN107" s="0"/>
      <c r="ACO107" s="0"/>
      <c r="ACP107" s="0"/>
      <c r="ACQ107" s="0"/>
      <c r="ACR107" s="0"/>
      <c r="ACS107" s="0"/>
      <c r="ACT107" s="0"/>
      <c r="ACU107" s="0"/>
      <c r="ACV107" s="0"/>
      <c r="ACW107" s="0"/>
      <c r="ACX107" s="0"/>
      <c r="ACY107" s="0"/>
      <c r="ACZ107" s="0"/>
      <c r="ADA107" s="0"/>
      <c r="ADB107" s="0"/>
      <c r="ADC107" s="0"/>
      <c r="ADD107" s="0"/>
      <c r="ADE107" s="0"/>
      <c r="ADF107" s="0"/>
      <c r="ADG107" s="0"/>
      <c r="ADH107" s="0"/>
      <c r="ADI107" s="0"/>
      <c r="ADJ107" s="0"/>
      <c r="ADK107" s="0"/>
      <c r="ADL107" s="0"/>
      <c r="ADM107" s="0"/>
      <c r="ADN107" s="0"/>
      <c r="ADO107" s="0"/>
      <c r="ADP107" s="0"/>
      <c r="ADQ107" s="0"/>
      <c r="ADR107" s="0"/>
      <c r="ADS107" s="0"/>
      <c r="ADT107" s="0"/>
      <c r="ADU107" s="0"/>
      <c r="ADV107" s="0"/>
      <c r="ADW107" s="0"/>
      <c r="ADX107" s="0"/>
      <c r="ADY107" s="0"/>
      <c r="ADZ107" s="0"/>
      <c r="AEA107" s="0"/>
      <c r="AEB107" s="0"/>
      <c r="AEC107" s="0"/>
      <c r="AED107" s="0"/>
      <c r="AEE107" s="0"/>
      <c r="AEF107" s="0"/>
      <c r="AEG107" s="0"/>
      <c r="AEH107" s="0"/>
      <c r="AEI107" s="0"/>
      <c r="AEJ107" s="0"/>
      <c r="AEK107" s="0"/>
      <c r="AEL107" s="0"/>
      <c r="AEM107" s="0"/>
      <c r="AEN107" s="0"/>
      <c r="AEO107" s="0"/>
      <c r="AEP107" s="0"/>
      <c r="AEQ107" s="0"/>
      <c r="AER107" s="0"/>
      <c r="AES107" s="0"/>
      <c r="AET107" s="0"/>
      <c r="AEU107" s="0"/>
      <c r="AEV107" s="0"/>
      <c r="AEW107" s="0"/>
      <c r="AEX107" s="0"/>
      <c r="AEY107" s="0"/>
      <c r="AEZ107" s="0"/>
      <c r="AFA107" s="0"/>
      <c r="AFB107" s="0"/>
      <c r="AFC107" s="0"/>
      <c r="AFD107" s="0"/>
      <c r="AFE107" s="0"/>
      <c r="AFF107" s="0"/>
      <c r="AFG107" s="0"/>
      <c r="AFH107" s="0"/>
      <c r="AFI107" s="0"/>
      <c r="AFJ107" s="0"/>
      <c r="AFK107" s="0"/>
      <c r="AFL107" s="0"/>
      <c r="AFM107" s="0"/>
      <c r="AFN107" s="0"/>
      <c r="AFO107" s="0"/>
      <c r="AFP107" s="0"/>
      <c r="AFQ107" s="0"/>
      <c r="AFR107" s="0"/>
      <c r="AFS107" s="0"/>
      <c r="AFT107" s="0"/>
      <c r="AFU107" s="0"/>
      <c r="AFV107" s="0"/>
      <c r="AFW107" s="0"/>
      <c r="AFX107" s="0"/>
      <c r="AFY107" s="0"/>
      <c r="AFZ107" s="0"/>
      <c r="AGA107" s="0"/>
      <c r="AGB107" s="0"/>
      <c r="AGC107" s="0"/>
      <c r="AGD107" s="0"/>
      <c r="AGE107" s="0"/>
      <c r="AGF107" s="0"/>
      <c r="AGG107" s="0"/>
      <c r="AGH107" s="0"/>
      <c r="AGI107" s="0"/>
      <c r="AGJ107" s="0"/>
      <c r="AGK107" s="0"/>
      <c r="AGL107" s="0"/>
      <c r="AGM107" s="0"/>
      <c r="AGN107" s="0"/>
      <c r="AGO107" s="0"/>
      <c r="AGP107" s="0"/>
      <c r="AGQ107" s="0"/>
      <c r="AGR107" s="0"/>
      <c r="AGS107" s="0"/>
      <c r="AGT107" s="0"/>
      <c r="AGU107" s="0"/>
      <c r="AGV107" s="0"/>
      <c r="AGW107" s="0"/>
      <c r="AGX107" s="0"/>
      <c r="AGY107" s="0"/>
      <c r="AGZ107" s="0"/>
      <c r="AHA107" s="0"/>
      <c r="AHB107" s="0"/>
      <c r="AHC107" s="0"/>
      <c r="AHD107" s="0"/>
      <c r="AHE107" s="0"/>
      <c r="AHF107" s="0"/>
      <c r="AHG107" s="0"/>
      <c r="AHH107" s="0"/>
      <c r="AHI107" s="0"/>
      <c r="AHJ107" s="0"/>
      <c r="AHK107" s="0"/>
      <c r="AHL107" s="0"/>
      <c r="AHM107" s="0"/>
      <c r="AHN107" s="0"/>
      <c r="AHO107" s="0"/>
      <c r="AHP107" s="0"/>
      <c r="AHQ107" s="0"/>
      <c r="AHR107" s="0"/>
      <c r="AHS107" s="0"/>
      <c r="AHT107" s="0"/>
      <c r="AHU107" s="0"/>
      <c r="AHV107" s="0"/>
      <c r="AHW107" s="0"/>
      <c r="AHX107" s="0"/>
      <c r="AHY107" s="0"/>
      <c r="AHZ107" s="0"/>
      <c r="AIA107" s="0"/>
      <c r="AIB107" s="0"/>
      <c r="AIC107" s="0"/>
      <c r="AID107" s="0"/>
      <c r="AIE107" s="0"/>
      <c r="AIF107" s="0"/>
      <c r="AIG107" s="0"/>
      <c r="AIH107" s="0"/>
      <c r="AII107" s="0"/>
      <c r="AIJ107" s="0"/>
      <c r="AIK107" s="0"/>
      <c r="AIL107" s="0"/>
      <c r="AIM107" s="0"/>
      <c r="AIN107" s="0"/>
      <c r="AIO107" s="0"/>
      <c r="AIP107" s="0"/>
      <c r="AIQ107" s="0"/>
      <c r="AIR107" s="0"/>
      <c r="AIS107" s="0"/>
      <c r="AIT107" s="0"/>
      <c r="AIU107" s="0"/>
      <c r="AIV107" s="0"/>
      <c r="AIW107" s="0"/>
      <c r="AIX107" s="0"/>
      <c r="AIY107" s="0"/>
      <c r="AIZ107" s="0"/>
      <c r="AJA107" s="0"/>
      <c r="AJB107" s="0"/>
      <c r="AJC107" s="0"/>
      <c r="AJD107" s="0"/>
      <c r="AJE107" s="0"/>
      <c r="AJF107" s="0"/>
      <c r="AJG107" s="0"/>
      <c r="AJH107" s="0"/>
      <c r="AJI107" s="0"/>
      <c r="AJJ107" s="0"/>
      <c r="AJK107" s="0"/>
      <c r="AJL107" s="0"/>
      <c r="AJM107" s="0"/>
      <c r="AJN107" s="0"/>
      <c r="AJO107" s="0"/>
      <c r="AJP107" s="0"/>
      <c r="AJQ107" s="0"/>
      <c r="AJR107" s="0"/>
      <c r="AJS107" s="0"/>
      <c r="AJT107" s="0"/>
      <c r="AJU107" s="0"/>
      <c r="AJV107" s="0"/>
      <c r="AJW107" s="0"/>
      <c r="AJX107" s="0"/>
      <c r="AJY107" s="0"/>
      <c r="AJZ107" s="0"/>
      <c r="AKA107" s="0"/>
      <c r="AKB107" s="0"/>
      <c r="AKC107" s="0"/>
      <c r="AKD107" s="0"/>
      <c r="AKE107" s="0"/>
      <c r="AKF107" s="0"/>
      <c r="AKG107" s="0"/>
      <c r="AKH107" s="0"/>
      <c r="AKI107" s="0"/>
      <c r="AKJ107" s="0"/>
      <c r="AKK107" s="0"/>
      <c r="AKL107" s="0"/>
      <c r="AKM107" s="0"/>
      <c r="AKN107" s="0"/>
      <c r="AKO107" s="0"/>
      <c r="AKP107" s="0"/>
      <c r="AKQ107" s="0"/>
      <c r="AKR107" s="0"/>
      <c r="AKS107" s="0"/>
      <c r="AKT107" s="0"/>
      <c r="AKU107" s="0"/>
      <c r="AKV107" s="0"/>
      <c r="AKW107" s="0"/>
      <c r="AKX107" s="0"/>
      <c r="AKY107" s="0"/>
      <c r="AKZ107" s="0"/>
      <c r="ALA107" s="0"/>
      <c r="ALB107" s="0"/>
      <c r="ALC107" s="0"/>
      <c r="ALD107" s="0"/>
      <c r="ALE107" s="0"/>
      <c r="ALF107" s="0"/>
      <c r="ALG107" s="0"/>
      <c r="ALH107" s="0"/>
      <c r="ALI107" s="0"/>
      <c r="ALJ107" s="0"/>
      <c r="ALK107" s="0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</row>
    <row r="108" customFormat="false" ht="14.4" hidden="false" customHeight="false" outlineLevel="0" collapsed="false">
      <c r="A108" s="80" t="n">
        <f aca="false">(B108/83)*100</f>
        <v>1.40963855421687</v>
      </c>
      <c r="B108" s="79" t="n">
        <v>1.17</v>
      </c>
      <c r="C108" s="79"/>
      <c r="D108" s="14" t="n">
        <f aca="false">E108/I108</f>
        <v>1.01812524271845</v>
      </c>
      <c r="E108" s="15" t="n">
        <f aca="false">(G108+F108)/2/H108</f>
        <v>524.3345</v>
      </c>
      <c r="F108" s="38" t="n">
        <v>460.456</v>
      </c>
      <c r="G108" s="17" t="n">
        <v>588.213</v>
      </c>
      <c r="H108" s="39" t="n">
        <v>1</v>
      </c>
      <c r="I108" s="19" t="n">
        <v>515</v>
      </c>
      <c r="J108" s="64" t="n">
        <v>0.25</v>
      </c>
      <c r="N108" s="64" t="n">
        <v>18</v>
      </c>
      <c r="O108" s="64"/>
      <c r="P108" s="64"/>
      <c r="Q108" s="19" t="n">
        <f aca="false">M108*N108</f>
        <v>0</v>
      </c>
      <c r="R108" s="21" t="n">
        <f aca="false">A108*N108</f>
        <v>25.3734939759036</v>
      </c>
      <c r="T108" s="22" t="n">
        <f aca="false">(G108-F108)/H108/E108</f>
        <v>0.243655529056356</v>
      </c>
      <c r="V108" s="0"/>
      <c r="W108" s="0"/>
      <c r="X108" s="0"/>
      <c r="Y108" s="0"/>
      <c r="Z108" s="40" t="s">
        <v>182</v>
      </c>
      <c r="AA108" s="19" t="s">
        <v>183</v>
      </c>
      <c r="AB108" s="41" t="n">
        <v>2013</v>
      </c>
      <c r="AC108" s="84" t="s">
        <v>184</v>
      </c>
      <c r="AE108" s="19" t="n">
        <v>270.5</v>
      </c>
      <c r="AK108" s="66" t="n">
        <f aca="false">1070/J108*1000000000000</f>
        <v>4280000000000000</v>
      </c>
      <c r="AL108" s="85" t="s">
        <v>185</v>
      </c>
      <c r="AM108" s="19" t="s">
        <v>116</v>
      </c>
      <c r="AO108" s="40"/>
      <c r="AQ108" s="26" t="n">
        <v>8.4</v>
      </c>
      <c r="AR108" s="26" t="n">
        <v>8.4</v>
      </c>
      <c r="AS108" s="26" t="n">
        <v>8.4</v>
      </c>
      <c r="AU108" s="19" t="n">
        <v>0</v>
      </c>
      <c r="AW108" s="19" t="s">
        <v>117</v>
      </c>
      <c r="AX108" s="69" t="n">
        <v>0</v>
      </c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/>
      <c r="YV108" s="0"/>
      <c r="YW108" s="0"/>
      <c r="YX108" s="0"/>
      <c r="YY108" s="0"/>
      <c r="YZ108" s="0"/>
      <c r="ZA108" s="0"/>
      <c r="ZB108" s="0"/>
      <c r="ZC108" s="0"/>
      <c r="ZD108" s="0"/>
      <c r="ZE108" s="0"/>
      <c r="ZF108" s="0"/>
      <c r="ZG108" s="0"/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/>
      <c r="AAM108" s="0"/>
      <c r="AAN108" s="0"/>
      <c r="AAO108" s="0"/>
      <c r="AAP108" s="0"/>
      <c r="AAQ108" s="0"/>
      <c r="AAR108" s="0"/>
      <c r="AAS108" s="0"/>
      <c r="AAT108" s="0"/>
      <c r="AAU108" s="0"/>
      <c r="AAV108" s="0"/>
      <c r="AAW108" s="0"/>
      <c r="AAX108" s="0"/>
      <c r="AAY108" s="0"/>
      <c r="AAZ108" s="0"/>
      <c r="ABA108" s="0"/>
      <c r="ABB108" s="0"/>
      <c r="ABC108" s="0"/>
      <c r="ABD108" s="0"/>
      <c r="ABE108" s="0"/>
      <c r="ABF108" s="0"/>
      <c r="ABG108" s="0"/>
      <c r="ABH108" s="0"/>
      <c r="ABI108" s="0"/>
      <c r="ABJ108" s="0"/>
      <c r="ABK108" s="0"/>
      <c r="ABL108" s="0"/>
      <c r="ABM108" s="0"/>
      <c r="ABN108" s="0"/>
      <c r="ABO108" s="0"/>
      <c r="ABP108" s="0"/>
      <c r="ABQ108" s="0"/>
      <c r="ABR108" s="0"/>
      <c r="ABS108" s="0"/>
      <c r="ABT108" s="0"/>
      <c r="ABU108" s="0"/>
      <c r="ABV108" s="0"/>
      <c r="ABW108" s="0"/>
      <c r="ABX108" s="0"/>
      <c r="ABY108" s="0"/>
      <c r="ABZ108" s="0"/>
      <c r="ACA108" s="0"/>
      <c r="ACB108" s="0"/>
      <c r="ACC108" s="0"/>
      <c r="ACD108" s="0"/>
      <c r="ACE108" s="0"/>
      <c r="ACF108" s="0"/>
      <c r="ACG108" s="0"/>
      <c r="ACH108" s="0"/>
      <c r="ACI108" s="0"/>
      <c r="ACJ108" s="0"/>
      <c r="ACK108" s="0"/>
      <c r="ACL108" s="0"/>
      <c r="ACM108" s="0"/>
      <c r="ACN108" s="0"/>
      <c r="ACO108" s="0"/>
      <c r="ACP108" s="0"/>
      <c r="ACQ108" s="0"/>
      <c r="ACR108" s="0"/>
      <c r="ACS108" s="0"/>
      <c r="ACT108" s="0"/>
      <c r="ACU108" s="0"/>
      <c r="ACV108" s="0"/>
      <c r="ACW108" s="0"/>
      <c r="ACX108" s="0"/>
      <c r="ACY108" s="0"/>
      <c r="ACZ108" s="0"/>
      <c r="ADA108" s="0"/>
      <c r="ADB108" s="0"/>
      <c r="ADC108" s="0"/>
      <c r="ADD108" s="0"/>
      <c r="ADE108" s="0"/>
      <c r="ADF108" s="0"/>
      <c r="ADG108" s="0"/>
      <c r="ADH108" s="0"/>
      <c r="ADI108" s="0"/>
      <c r="ADJ108" s="0"/>
      <c r="ADK108" s="0"/>
      <c r="ADL108" s="0"/>
      <c r="ADM108" s="0"/>
      <c r="ADN108" s="0"/>
      <c r="ADO108" s="0"/>
      <c r="ADP108" s="0"/>
      <c r="ADQ108" s="0"/>
      <c r="ADR108" s="0"/>
      <c r="ADS108" s="0"/>
      <c r="ADT108" s="0"/>
      <c r="ADU108" s="0"/>
      <c r="ADV108" s="0"/>
      <c r="ADW108" s="0"/>
      <c r="ADX108" s="0"/>
      <c r="ADY108" s="0"/>
      <c r="ADZ108" s="0"/>
      <c r="AEA108" s="0"/>
      <c r="AEB108" s="0"/>
      <c r="AEC108" s="0"/>
      <c r="AED108" s="0"/>
      <c r="AEE108" s="0"/>
      <c r="AEF108" s="0"/>
      <c r="AEG108" s="0"/>
      <c r="AEH108" s="0"/>
      <c r="AEI108" s="0"/>
      <c r="AEJ108" s="0"/>
      <c r="AEK108" s="0"/>
      <c r="AEL108" s="0"/>
      <c r="AEM108" s="0"/>
      <c r="AEN108" s="0"/>
      <c r="AEO108" s="0"/>
      <c r="AEP108" s="0"/>
      <c r="AEQ108" s="0"/>
      <c r="AER108" s="0"/>
      <c r="AES108" s="0"/>
      <c r="AET108" s="0"/>
      <c r="AEU108" s="0"/>
      <c r="AEV108" s="0"/>
      <c r="AEW108" s="0"/>
      <c r="AEX108" s="0"/>
      <c r="AEY108" s="0"/>
      <c r="AEZ108" s="0"/>
      <c r="AFA108" s="0"/>
      <c r="AFB108" s="0"/>
      <c r="AFC108" s="0"/>
      <c r="AFD108" s="0"/>
      <c r="AFE108" s="0"/>
      <c r="AFF108" s="0"/>
      <c r="AFG108" s="0"/>
      <c r="AFH108" s="0"/>
      <c r="AFI108" s="0"/>
      <c r="AFJ108" s="0"/>
      <c r="AFK108" s="0"/>
      <c r="AFL108" s="0"/>
      <c r="AFM108" s="0"/>
      <c r="AFN108" s="0"/>
      <c r="AFO108" s="0"/>
      <c r="AFP108" s="0"/>
      <c r="AFQ108" s="0"/>
      <c r="AFR108" s="0"/>
      <c r="AFS108" s="0"/>
      <c r="AFT108" s="0"/>
      <c r="AFU108" s="0"/>
      <c r="AFV108" s="0"/>
      <c r="AFW108" s="0"/>
      <c r="AFX108" s="0"/>
      <c r="AFY108" s="0"/>
      <c r="AFZ108" s="0"/>
      <c r="AGA108" s="0"/>
      <c r="AGB108" s="0"/>
      <c r="AGC108" s="0"/>
      <c r="AGD108" s="0"/>
      <c r="AGE108" s="0"/>
      <c r="AGF108" s="0"/>
      <c r="AGG108" s="0"/>
      <c r="AGH108" s="0"/>
      <c r="AGI108" s="0"/>
      <c r="AGJ108" s="0"/>
      <c r="AGK108" s="0"/>
      <c r="AGL108" s="0"/>
      <c r="AGM108" s="0"/>
      <c r="AGN108" s="0"/>
      <c r="AGO108" s="0"/>
      <c r="AGP108" s="0"/>
      <c r="AGQ108" s="0"/>
      <c r="AGR108" s="0"/>
      <c r="AGS108" s="0"/>
      <c r="AGT108" s="0"/>
      <c r="AGU108" s="0"/>
      <c r="AGV108" s="0"/>
      <c r="AGW108" s="0"/>
      <c r="AGX108" s="0"/>
      <c r="AGY108" s="0"/>
      <c r="AGZ108" s="0"/>
      <c r="AHA108" s="0"/>
      <c r="AHB108" s="0"/>
      <c r="AHC108" s="0"/>
      <c r="AHD108" s="0"/>
      <c r="AHE108" s="0"/>
      <c r="AHF108" s="0"/>
      <c r="AHG108" s="0"/>
      <c r="AHH108" s="0"/>
      <c r="AHI108" s="0"/>
      <c r="AHJ108" s="0"/>
      <c r="AHK108" s="0"/>
      <c r="AHL108" s="0"/>
      <c r="AHM108" s="0"/>
      <c r="AHN108" s="0"/>
      <c r="AHO108" s="0"/>
      <c r="AHP108" s="0"/>
      <c r="AHQ108" s="0"/>
      <c r="AHR108" s="0"/>
      <c r="AHS108" s="0"/>
      <c r="AHT108" s="0"/>
      <c r="AHU108" s="0"/>
      <c r="AHV108" s="0"/>
      <c r="AHW108" s="0"/>
      <c r="AHX108" s="0"/>
      <c r="AHY108" s="0"/>
      <c r="AHZ108" s="0"/>
      <c r="AIA108" s="0"/>
      <c r="AIB108" s="0"/>
      <c r="AIC108" s="0"/>
      <c r="AID108" s="0"/>
      <c r="AIE108" s="0"/>
      <c r="AIF108" s="0"/>
      <c r="AIG108" s="0"/>
      <c r="AIH108" s="0"/>
      <c r="AII108" s="0"/>
      <c r="AIJ108" s="0"/>
      <c r="AIK108" s="0"/>
      <c r="AIL108" s="0"/>
      <c r="AIM108" s="0"/>
      <c r="AIN108" s="0"/>
      <c r="AIO108" s="0"/>
      <c r="AIP108" s="0"/>
      <c r="AIQ108" s="0"/>
      <c r="AIR108" s="0"/>
      <c r="AIS108" s="0"/>
      <c r="AIT108" s="0"/>
      <c r="AIU108" s="0"/>
      <c r="AIV108" s="0"/>
      <c r="AIW108" s="0"/>
      <c r="AIX108" s="0"/>
      <c r="AIY108" s="0"/>
      <c r="AIZ108" s="0"/>
      <c r="AJA108" s="0"/>
      <c r="AJB108" s="0"/>
      <c r="AJC108" s="0"/>
      <c r="AJD108" s="0"/>
      <c r="AJE108" s="0"/>
      <c r="AJF108" s="0"/>
      <c r="AJG108" s="0"/>
      <c r="AJH108" s="0"/>
      <c r="AJI108" s="0"/>
      <c r="AJJ108" s="0"/>
      <c r="AJK108" s="0"/>
      <c r="AJL108" s="0"/>
      <c r="AJM108" s="0"/>
      <c r="AJN108" s="0"/>
      <c r="AJO108" s="0"/>
      <c r="AJP108" s="0"/>
      <c r="AJQ108" s="0"/>
      <c r="AJR108" s="0"/>
      <c r="AJS108" s="0"/>
      <c r="AJT108" s="0"/>
      <c r="AJU108" s="0"/>
      <c r="AJV108" s="0"/>
      <c r="AJW108" s="0"/>
      <c r="AJX108" s="0"/>
      <c r="AJY108" s="0"/>
      <c r="AJZ108" s="0"/>
      <c r="AKA108" s="0"/>
      <c r="AKB108" s="0"/>
      <c r="AKC108" s="0"/>
      <c r="AKD108" s="0"/>
      <c r="AKE108" s="0"/>
      <c r="AKF108" s="0"/>
      <c r="AKG108" s="0"/>
      <c r="AKH108" s="0"/>
      <c r="AKI108" s="0"/>
      <c r="AKJ108" s="0"/>
      <c r="AKK108" s="0"/>
      <c r="AKL108" s="0"/>
      <c r="AKM108" s="0"/>
      <c r="AKN108" s="0"/>
      <c r="AKO108" s="0"/>
      <c r="AKP108" s="0"/>
      <c r="AKQ108" s="0"/>
      <c r="AKR108" s="0"/>
      <c r="AKS108" s="0"/>
      <c r="AKT108" s="0"/>
      <c r="AKU108" s="0"/>
      <c r="AKV108" s="0"/>
      <c r="AKW108" s="0"/>
      <c r="AKX108" s="0"/>
      <c r="AKY108" s="0"/>
      <c r="AKZ108" s="0"/>
      <c r="ALA108" s="0"/>
      <c r="ALB108" s="0"/>
      <c r="ALC108" s="0"/>
      <c r="ALD108" s="0"/>
      <c r="ALE108" s="0"/>
      <c r="ALF108" s="0"/>
      <c r="ALG108" s="0"/>
      <c r="ALH108" s="0"/>
      <c r="ALI108" s="0"/>
      <c r="ALJ108" s="0"/>
      <c r="ALK108" s="0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customFormat="false" ht="14.4" hidden="false" customHeight="false" outlineLevel="0" collapsed="false">
      <c r="A109" s="80" t="n">
        <f aca="false">(B109/83)*100</f>
        <v>1.40963855421687</v>
      </c>
      <c r="B109" s="79" t="n">
        <v>1.17</v>
      </c>
      <c r="C109" s="79"/>
      <c r="D109" s="14" t="n">
        <f aca="false">E109/I109</f>
        <v>0.931559223300971</v>
      </c>
      <c r="E109" s="15" t="n">
        <f aca="false">(G109+F109)/2/H109</f>
        <v>479.753</v>
      </c>
      <c r="F109" s="38" t="n">
        <v>417.871</v>
      </c>
      <c r="G109" s="17" t="n">
        <v>541.635</v>
      </c>
      <c r="H109" s="39" t="n">
        <v>1</v>
      </c>
      <c r="I109" s="19" t="n">
        <v>515</v>
      </c>
      <c r="J109" s="64" t="n">
        <v>0.25</v>
      </c>
      <c r="N109" s="64" t="n">
        <v>19</v>
      </c>
      <c r="O109" s="64"/>
      <c r="P109" s="64"/>
      <c r="Q109" s="19" t="n">
        <f aca="false">M109*N109</f>
        <v>0</v>
      </c>
      <c r="R109" s="21" t="n">
        <f aca="false">A109*N109</f>
        <v>26.7831325301205</v>
      </c>
      <c r="T109" s="22" t="n">
        <f aca="false">(G109-F109)/H109/E109</f>
        <v>0.257974416001567</v>
      </c>
      <c r="V109" s="0"/>
      <c r="W109" s="0"/>
      <c r="X109" s="0"/>
      <c r="Y109" s="0"/>
      <c r="Z109" s="40" t="s">
        <v>182</v>
      </c>
      <c r="AA109" s="19" t="s">
        <v>183</v>
      </c>
      <c r="AB109" s="41" t="n">
        <v>2013</v>
      </c>
      <c r="AC109" s="84" t="s">
        <v>184</v>
      </c>
      <c r="AE109" s="19" t="n">
        <v>270.5</v>
      </c>
      <c r="AK109" s="66" t="n">
        <f aca="false">1070/J109*1000000000000</f>
        <v>4280000000000000</v>
      </c>
      <c r="AL109" s="85" t="s">
        <v>185</v>
      </c>
      <c r="AM109" s="19" t="s">
        <v>116</v>
      </c>
      <c r="AO109" s="40"/>
      <c r="AQ109" s="26" t="n">
        <v>8.4</v>
      </c>
      <c r="AR109" s="26" t="n">
        <v>8.4</v>
      </c>
      <c r="AS109" s="26" t="n">
        <v>8.4</v>
      </c>
      <c r="AU109" s="19" t="n">
        <v>0</v>
      </c>
      <c r="AW109" s="19" t="s">
        <v>117</v>
      </c>
      <c r="AX109" s="69" t="n">
        <v>0</v>
      </c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/>
      <c r="YV109" s="0"/>
      <c r="YW109" s="0"/>
      <c r="YX109" s="0"/>
      <c r="YY109" s="0"/>
      <c r="YZ109" s="0"/>
      <c r="ZA109" s="0"/>
      <c r="ZB109" s="0"/>
      <c r="ZC109" s="0"/>
      <c r="ZD109" s="0"/>
      <c r="ZE109" s="0"/>
      <c r="ZF109" s="0"/>
      <c r="ZG109" s="0"/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/>
      <c r="AAM109" s="0"/>
      <c r="AAN109" s="0"/>
      <c r="AAO109" s="0"/>
      <c r="AAP109" s="0"/>
      <c r="AAQ109" s="0"/>
      <c r="AAR109" s="0"/>
      <c r="AAS109" s="0"/>
      <c r="AAT109" s="0"/>
      <c r="AAU109" s="0"/>
      <c r="AAV109" s="0"/>
      <c r="AAW109" s="0"/>
      <c r="AAX109" s="0"/>
      <c r="AAY109" s="0"/>
      <c r="AAZ109" s="0"/>
      <c r="ABA109" s="0"/>
      <c r="ABB109" s="0"/>
      <c r="ABC109" s="0"/>
      <c r="ABD109" s="0"/>
      <c r="ABE109" s="0"/>
      <c r="ABF109" s="0"/>
      <c r="ABG109" s="0"/>
      <c r="ABH109" s="0"/>
      <c r="ABI109" s="0"/>
      <c r="ABJ109" s="0"/>
      <c r="ABK109" s="0"/>
      <c r="ABL109" s="0"/>
      <c r="ABM109" s="0"/>
      <c r="ABN109" s="0"/>
      <c r="ABO109" s="0"/>
      <c r="ABP109" s="0"/>
      <c r="ABQ109" s="0"/>
      <c r="ABR109" s="0"/>
      <c r="ABS109" s="0"/>
      <c r="ABT109" s="0"/>
      <c r="ABU109" s="0"/>
      <c r="ABV109" s="0"/>
      <c r="ABW109" s="0"/>
      <c r="ABX109" s="0"/>
      <c r="ABY109" s="0"/>
      <c r="ABZ109" s="0"/>
      <c r="ACA109" s="0"/>
      <c r="ACB109" s="0"/>
      <c r="ACC109" s="0"/>
      <c r="ACD109" s="0"/>
      <c r="ACE109" s="0"/>
      <c r="ACF109" s="0"/>
      <c r="ACG109" s="0"/>
      <c r="ACH109" s="0"/>
      <c r="ACI109" s="0"/>
      <c r="ACJ109" s="0"/>
      <c r="ACK109" s="0"/>
      <c r="ACL109" s="0"/>
      <c r="ACM109" s="0"/>
      <c r="ACN109" s="0"/>
      <c r="ACO109" s="0"/>
      <c r="ACP109" s="0"/>
      <c r="ACQ109" s="0"/>
      <c r="ACR109" s="0"/>
      <c r="ACS109" s="0"/>
      <c r="ACT109" s="0"/>
      <c r="ACU109" s="0"/>
      <c r="ACV109" s="0"/>
      <c r="ACW109" s="0"/>
      <c r="ACX109" s="0"/>
      <c r="ACY109" s="0"/>
      <c r="ACZ109" s="0"/>
      <c r="ADA109" s="0"/>
      <c r="ADB109" s="0"/>
      <c r="ADC109" s="0"/>
      <c r="ADD109" s="0"/>
      <c r="ADE109" s="0"/>
      <c r="ADF109" s="0"/>
      <c r="ADG109" s="0"/>
      <c r="ADH109" s="0"/>
      <c r="ADI109" s="0"/>
      <c r="ADJ109" s="0"/>
      <c r="ADK109" s="0"/>
      <c r="ADL109" s="0"/>
      <c r="ADM109" s="0"/>
      <c r="ADN109" s="0"/>
      <c r="ADO109" s="0"/>
      <c r="ADP109" s="0"/>
      <c r="ADQ109" s="0"/>
      <c r="ADR109" s="0"/>
      <c r="ADS109" s="0"/>
      <c r="ADT109" s="0"/>
      <c r="ADU109" s="0"/>
      <c r="ADV109" s="0"/>
      <c r="ADW109" s="0"/>
      <c r="ADX109" s="0"/>
      <c r="ADY109" s="0"/>
      <c r="ADZ109" s="0"/>
      <c r="AEA109" s="0"/>
      <c r="AEB109" s="0"/>
      <c r="AEC109" s="0"/>
      <c r="AED109" s="0"/>
      <c r="AEE109" s="0"/>
      <c r="AEF109" s="0"/>
      <c r="AEG109" s="0"/>
      <c r="AEH109" s="0"/>
      <c r="AEI109" s="0"/>
      <c r="AEJ109" s="0"/>
      <c r="AEK109" s="0"/>
      <c r="AEL109" s="0"/>
      <c r="AEM109" s="0"/>
      <c r="AEN109" s="0"/>
      <c r="AEO109" s="0"/>
      <c r="AEP109" s="0"/>
      <c r="AEQ109" s="0"/>
      <c r="AER109" s="0"/>
      <c r="AES109" s="0"/>
      <c r="AET109" s="0"/>
      <c r="AEU109" s="0"/>
      <c r="AEV109" s="0"/>
      <c r="AEW109" s="0"/>
      <c r="AEX109" s="0"/>
      <c r="AEY109" s="0"/>
      <c r="AEZ109" s="0"/>
      <c r="AFA109" s="0"/>
      <c r="AFB109" s="0"/>
      <c r="AFC109" s="0"/>
      <c r="AFD109" s="0"/>
      <c r="AFE109" s="0"/>
      <c r="AFF109" s="0"/>
      <c r="AFG109" s="0"/>
      <c r="AFH109" s="0"/>
      <c r="AFI109" s="0"/>
      <c r="AFJ109" s="0"/>
      <c r="AFK109" s="0"/>
      <c r="AFL109" s="0"/>
      <c r="AFM109" s="0"/>
      <c r="AFN109" s="0"/>
      <c r="AFO109" s="0"/>
      <c r="AFP109" s="0"/>
      <c r="AFQ109" s="0"/>
      <c r="AFR109" s="0"/>
      <c r="AFS109" s="0"/>
      <c r="AFT109" s="0"/>
      <c r="AFU109" s="0"/>
      <c r="AFV109" s="0"/>
      <c r="AFW109" s="0"/>
      <c r="AFX109" s="0"/>
      <c r="AFY109" s="0"/>
      <c r="AFZ109" s="0"/>
      <c r="AGA109" s="0"/>
      <c r="AGB109" s="0"/>
      <c r="AGC109" s="0"/>
      <c r="AGD109" s="0"/>
      <c r="AGE109" s="0"/>
      <c r="AGF109" s="0"/>
      <c r="AGG109" s="0"/>
      <c r="AGH109" s="0"/>
      <c r="AGI109" s="0"/>
      <c r="AGJ109" s="0"/>
      <c r="AGK109" s="0"/>
      <c r="AGL109" s="0"/>
      <c r="AGM109" s="0"/>
      <c r="AGN109" s="0"/>
      <c r="AGO109" s="0"/>
      <c r="AGP109" s="0"/>
      <c r="AGQ109" s="0"/>
      <c r="AGR109" s="0"/>
      <c r="AGS109" s="0"/>
      <c r="AGT109" s="0"/>
      <c r="AGU109" s="0"/>
      <c r="AGV109" s="0"/>
      <c r="AGW109" s="0"/>
      <c r="AGX109" s="0"/>
      <c r="AGY109" s="0"/>
      <c r="AGZ109" s="0"/>
      <c r="AHA109" s="0"/>
      <c r="AHB109" s="0"/>
      <c r="AHC109" s="0"/>
      <c r="AHD109" s="0"/>
      <c r="AHE109" s="0"/>
      <c r="AHF109" s="0"/>
      <c r="AHG109" s="0"/>
      <c r="AHH109" s="0"/>
      <c r="AHI109" s="0"/>
      <c r="AHJ109" s="0"/>
      <c r="AHK109" s="0"/>
      <c r="AHL109" s="0"/>
      <c r="AHM109" s="0"/>
      <c r="AHN109" s="0"/>
      <c r="AHO109" s="0"/>
      <c r="AHP109" s="0"/>
      <c r="AHQ109" s="0"/>
      <c r="AHR109" s="0"/>
      <c r="AHS109" s="0"/>
      <c r="AHT109" s="0"/>
      <c r="AHU109" s="0"/>
      <c r="AHV109" s="0"/>
      <c r="AHW109" s="0"/>
      <c r="AHX109" s="0"/>
      <c r="AHY109" s="0"/>
      <c r="AHZ109" s="0"/>
      <c r="AIA109" s="0"/>
      <c r="AIB109" s="0"/>
      <c r="AIC109" s="0"/>
      <c r="AID109" s="0"/>
      <c r="AIE109" s="0"/>
      <c r="AIF109" s="0"/>
      <c r="AIG109" s="0"/>
      <c r="AIH109" s="0"/>
      <c r="AII109" s="0"/>
      <c r="AIJ109" s="0"/>
      <c r="AIK109" s="0"/>
      <c r="AIL109" s="0"/>
      <c r="AIM109" s="0"/>
      <c r="AIN109" s="0"/>
      <c r="AIO109" s="0"/>
      <c r="AIP109" s="0"/>
      <c r="AIQ109" s="0"/>
      <c r="AIR109" s="0"/>
      <c r="AIS109" s="0"/>
      <c r="AIT109" s="0"/>
      <c r="AIU109" s="0"/>
      <c r="AIV109" s="0"/>
      <c r="AIW109" s="0"/>
      <c r="AIX109" s="0"/>
      <c r="AIY109" s="0"/>
      <c r="AIZ109" s="0"/>
      <c r="AJA109" s="0"/>
      <c r="AJB109" s="0"/>
      <c r="AJC109" s="0"/>
      <c r="AJD109" s="0"/>
      <c r="AJE109" s="0"/>
      <c r="AJF109" s="0"/>
      <c r="AJG109" s="0"/>
      <c r="AJH109" s="0"/>
      <c r="AJI109" s="0"/>
      <c r="AJJ109" s="0"/>
      <c r="AJK109" s="0"/>
      <c r="AJL109" s="0"/>
      <c r="AJM109" s="0"/>
      <c r="AJN109" s="0"/>
      <c r="AJO109" s="0"/>
      <c r="AJP109" s="0"/>
      <c r="AJQ109" s="0"/>
      <c r="AJR109" s="0"/>
      <c r="AJS109" s="0"/>
      <c r="AJT109" s="0"/>
      <c r="AJU109" s="0"/>
      <c r="AJV109" s="0"/>
      <c r="AJW109" s="0"/>
      <c r="AJX109" s="0"/>
      <c r="AJY109" s="0"/>
      <c r="AJZ109" s="0"/>
      <c r="AKA109" s="0"/>
      <c r="AKB109" s="0"/>
      <c r="AKC109" s="0"/>
      <c r="AKD109" s="0"/>
      <c r="AKE109" s="0"/>
      <c r="AKF109" s="0"/>
      <c r="AKG109" s="0"/>
      <c r="AKH109" s="0"/>
      <c r="AKI109" s="0"/>
      <c r="AKJ109" s="0"/>
      <c r="AKK109" s="0"/>
      <c r="AKL109" s="0"/>
      <c r="AKM109" s="0"/>
      <c r="AKN109" s="0"/>
      <c r="AKO109" s="0"/>
      <c r="AKP109" s="0"/>
      <c r="AKQ109" s="0"/>
      <c r="AKR109" s="0"/>
      <c r="AKS109" s="0"/>
      <c r="AKT109" s="0"/>
      <c r="AKU109" s="0"/>
      <c r="AKV109" s="0"/>
      <c r="AKW109" s="0"/>
      <c r="AKX109" s="0"/>
      <c r="AKY109" s="0"/>
      <c r="AKZ109" s="0"/>
      <c r="ALA109" s="0"/>
      <c r="ALB109" s="0"/>
      <c r="ALC109" s="0"/>
      <c r="ALD109" s="0"/>
      <c r="ALE109" s="0"/>
      <c r="ALF109" s="0"/>
      <c r="ALG109" s="0"/>
      <c r="ALH109" s="0"/>
      <c r="ALI109" s="0"/>
      <c r="ALJ109" s="0"/>
      <c r="ALK109" s="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</row>
    <row r="110" customFormat="false" ht="14.4" hidden="false" customHeight="false" outlineLevel="0" collapsed="false">
      <c r="A110" s="80" t="n">
        <f aca="false">(B110/83)*100</f>
        <v>1.40963855421687</v>
      </c>
      <c r="B110" s="79" t="n">
        <v>1.17</v>
      </c>
      <c r="C110" s="79"/>
      <c r="D110" s="14" t="n">
        <f aca="false">E110/I110</f>
        <v>0.876001941747573</v>
      </c>
      <c r="E110" s="15" t="n">
        <f aca="false">(G110+F110)/2/H110</f>
        <v>451.141</v>
      </c>
      <c r="F110" s="38" t="n">
        <v>417.871</v>
      </c>
      <c r="G110" s="17" t="n">
        <v>484.411</v>
      </c>
      <c r="H110" s="39" t="n">
        <v>1</v>
      </c>
      <c r="I110" s="19" t="n">
        <v>515</v>
      </c>
      <c r="J110" s="64" t="n">
        <v>0.25</v>
      </c>
      <c r="N110" s="64" t="n">
        <v>13</v>
      </c>
      <c r="O110" s="64"/>
      <c r="P110" s="64"/>
      <c r="Q110" s="19" t="n">
        <f aca="false">M110*N110</f>
        <v>0</v>
      </c>
      <c r="R110" s="21" t="n">
        <f aca="false">A110*N110</f>
        <v>18.3253012048193</v>
      </c>
      <c r="T110" s="22" t="n">
        <f aca="false">(G110-F110)/H110/E110</f>
        <v>0.147492690755218</v>
      </c>
      <c r="V110" s="0"/>
      <c r="W110" s="0"/>
      <c r="X110" s="0"/>
      <c r="Y110" s="0"/>
      <c r="Z110" s="40" t="s">
        <v>182</v>
      </c>
      <c r="AA110" s="19" t="s">
        <v>183</v>
      </c>
      <c r="AB110" s="41" t="n">
        <v>2013</v>
      </c>
      <c r="AC110" s="84" t="s">
        <v>184</v>
      </c>
      <c r="AE110" s="19" t="n">
        <v>270.5</v>
      </c>
      <c r="AK110" s="66" t="n">
        <f aca="false">1070/J110*1000000000000</f>
        <v>4280000000000000</v>
      </c>
      <c r="AL110" s="85" t="s">
        <v>185</v>
      </c>
      <c r="AM110" s="19" t="s">
        <v>116</v>
      </c>
      <c r="AO110" s="40"/>
      <c r="AQ110" s="26" t="n">
        <v>8.4</v>
      </c>
      <c r="AR110" s="26" t="n">
        <v>8.4</v>
      </c>
      <c r="AS110" s="26" t="n">
        <v>8.4</v>
      </c>
      <c r="AU110" s="19" t="n">
        <v>0</v>
      </c>
      <c r="AW110" s="19" t="s">
        <v>117</v>
      </c>
      <c r="AX110" s="69" t="n">
        <v>0</v>
      </c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  <c r="OJ110" s="0"/>
      <c r="OK110" s="0"/>
      <c r="OL110" s="0"/>
      <c r="OM110" s="0"/>
      <c r="ON110" s="0"/>
      <c r="OO110" s="0"/>
      <c r="OP110" s="0"/>
      <c r="OQ110" s="0"/>
      <c r="OR110" s="0"/>
      <c r="OS110" s="0"/>
      <c r="OT110" s="0"/>
      <c r="OU110" s="0"/>
      <c r="OV110" s="0"/>
      <c r="OW110" s="0"/>
      <c r="OX110" s="0"/>
      <c r="OY110" s="0"/>
      <c r="OZ110" s="0"/>
      <c r="PA110" s="0"/>
      <c r="PB110" s="0"/>
      <c r="PC110" s="0"/>
      <c r="PD110" s="0"/>
      <c r="PE110" s="0"/>
      <c r="PF110" s="0"/>
      <c r="PG110" s="0"/>
      <c r="PH110" s="0"/>
      <c r="PI110" s="0"/>
      <c r="PJ110" s="0"/>
      <c r="PK110" s="0"/>
      <c r="PL110" s="0"/>
      <c r="PM110" s="0"/>
      <c r="PN110" s="0"/>
      <c r="PO110" s="0"/>
      <c r="PP110" s="0"/>
      <c r="PQ110" s="0"/>
      <c r="PR110" s="0"/>
      <c r="PS110" s="0"/>
      <c r="PT110" s="0"/>
      <c r="PU110" s="0"/>
      <c r="PV110" s="0"/>
      <c r="PW110" s="0"/>
      <c r="PX110" s="0"/>
      <c r="PY110" s="0"/>
      <c r="PZ110" s="0"/>
      <c r="QA110" s="0"/>
      <c r="QB110" s="0"/>
      <c r="QC110" s="0"/>
      <c r="QD110" s="0"/>
      <c r="QE110" s="0"/>
      <c r="QF110" s="0"/>
      <c r="QG110" s="0"/>
      <c r="QH110" s="0"/>
      <c r="QI110" s="0"/>
      <c r="QJ110" s="0"/>
      <c r="QK110" s="0"/>
      <c r="QL110" s="0"/>
      <c r="QM110" s="0"/>
      <c r="QN110" s="0"/>
      <c r="QO110" s="0"/>
      <c r="QP110" s="0"/>
      <c r="QQ110" s="0"/>
      <c r="QR110" s="0"/>
      <c r="QS110" s="0"/>
      <c r="QT110" s="0"/>
      <c r="QU110" s="0"/>
      <c r="QV110" s="0"/>
      <c r="QW110" s="0"/>
      <c r="QX110" s="0"/>
      <c r="QY110" s="0"/>
      <c r="QZ110" s="0"/>
      <c r="RA110" s="0"/>
      <c r="RB110" s="0"/>
      <c r="RC110" s="0"/>
      <c r="RD110" s="0"/>
      <c r="RE110" s="0"/>
      <c r="RF110" s="0"/>
      <c r="RG110" s="0"/>
      <c r="RH110" s="0"/>
      <c r="RI110" s="0"/>
      <c r="RJ110" s="0"/>
      <c r="RK110" s="0"/>
      <c r="RL110" s="0"/>
      <c r="RM110" s="0"/>
      <c r="RN110" s="0"/>
      <c r="RO110" s="0"/>
      <c r="RP110" s="0"/>
      <c r="RQ110" s="0"/>
      <c r="RR110" s="0"/>
      <c r="RS110" s="0"/>
      <c r="RT110" s="0"/>
      <c r="RU110" s="0"/>
      <c r="RV110" s="0"/>
      <c r="RW110" s="0"/>
      <c r="RX110" s="0"/>
      <c r="RY110" s="0"/>
      <c r="RZ110" s="0"/>
      <c r="SA110" s="0"/>
      <c r="SB110" s="0"/>
      <c r="SC110" s="0"/>
      <c r="SD110" s="0"/>
      <c r="SE110" s="0"/>
      <c r="SF110" s="0"/>
      <c r="SG110" s="0"/>
      <c r="SH110" s="0"/>
      <c r="SI110" s="0"/>
      <c r="SJ110" s="0"/>
      <c r="SK110" s="0"/>
      <c r="SL110" s="0"/>
      <c r="SM110" s="0"/>
      <c r="SN110" s="0"/>
      <c r="SO110" s="0"/>
      <c r="SP110" s="0"/>
      <c r="SQ110" s="0"/>
      <c r="SR110" s="0"/>
      <c r="SS110" s="0"/>
      <c r="ST110" s="0"/>
      <c r="SU110" s="0"/>
      <c r="SV110" s="0"/>
      <c r="SW110" s="0"/>
      <c r="SX110" s="0"/>
      <c r="SY110" s="0"/>
      <c r="SZ110" s="0"/>
      <c r="TA110" s="0"/>
      <c r="TB110" s="0"/>
      <c r="TC110" s="0"/>
      <c r="TD110" s="0"/>
      <c r="TE110" s="0"/>
      <c r="TF110" s="0"/>
      <c r="TG110" s="0"/>
      <c r="TH110" s="0"/>
      <c r="TI110" s="0"/>
      <c r="TJ110" s="0"/>
      <c r="TK110" s="0"/>
      <c r="TL110" s="0"/>
      <c r="TM110" s="0"/>
      <c r="TN110" s="0"/>
      <c r="TO110" s="0"/>
      <c r="TP110" s="0"/>
      <c r="TQ110" s="0"/>
      <c r="TR110" s="0"/>
      <c r="TS110" s="0"/>
      <c r="TT110" s="0"/>
      <c r="TU110" s="0"/>
      <c r="TV110" s="0"/>
      <c r="TW110" s="0"/>
      <c r="TX110" s="0"/>
      <c r="TY110" s="0"/>
      <c r="TZ110" s="0"/>
      <c r="UA110" s="0"/>
      <c r="UB110" s="0"/>
      <c r="UC110" s="0"/>
      <c r="UD110" s="0"/>
      <c r="UE110" s="0"/>
      <c r="UF110" s="0"/>
      <c r="UG110" s="0"/>
      <c r="UH110" s="0"/>
      <c r="UI110" s="0"/>
      <c r="UJ110" s="0"/>
      <c r="UK110" s="0"/>
      <c r="UL110" s="0"/>
      <c r="UM110" s="0"/>
      <c r="UN110" s="0"/>
      <c r="UO110" s="0"/>
      <c r="UP110" s="0"/>
      <c r="UQ110" s="0"/>
      <c r="UR110" s="0"/>
      <c r="US110" s="0"/>
      <c r="UT110" s="0"/>
      <c r="UU110" s="0"/>
      <c r="UV110" s="0"/>
      <c r="UW110" s="0"/>
      <c r="UX110" s="0"/>
      <c r="UY110" s="0"/>
      <c r="UZ110" s="0"/>
      <c r="VA110" s="0"/>
      <c r="VB110" s="0"/>
      <c r="VC110" s="0"/>
      <c r="VD110" s="0"/>
      <c r="VE110" s="0"/>
      <c r="VF110" s="0"/>
      <c r="VG110" s="0"/>
      <c r="VH110" s="0"/>
      <c r="VI110" s="0"/>
      <c r="VJ110" s="0"/>
      <c r="VK110" s="0"/>
      <c r="VL110" s="0"/>
      <c r="VM110" s="0"/>
      <c r="VN110" s="0"/>
      <c r="VO110" s="0"/>
      <c r="VP110" s="0"/>
      <c r="VQ110" s="0"/>
      <c r="VR110" s="0"/>
      <c r="VS110" s="0"/>
      <c r="VT110" s="0"/>
      <c r="VU110" s="0"/>
      <c r="VV110" s="0"/>
      <c r="VW110" s="0"/>
      <c r="VX110" s="0"/>
      <c r="VY110" s="0"/>
      <c r="VZ110" s="0"/>
      <c r="WA110" s="0"/>
      <c r="WB110" s="0"/>
      <c r="WC110" s="0"/>
      <c r="WD110" s="0"/>
      <c r="WE110" s="0"/>
      <c r="WF110" s="0"/>
      <c r="WG110" s="0"/>
      <c r="WH110" s="0"/>
      <c r="WI110" s="0"/>
      <c r="WJ110" s="0"/>
      <c r="WK110" s="0"/>
      <c r="WL110" s="0"/>
      <c r="WM110" s="0"/>
      <c r="WN110" s="0"/>
      <c r="WO110" s="0"/>
      <c r="WP110" s="0"/>
      <c r="WQ110" s="0"/>
      <c r="WR110" s="0"/>
      <c r="WS110" s="0"/>
      <c r="WT110" s="0"/>
      <c r="WU110" s="0"/>
      <c r="WV110" s="0"/>
      <c r="WW110" s="0"/>
      <c r="WX110" s="0"/>
      <c r="WY110" s="0"/>
      <c r="WZ110" s="0"/>
      <c r="XA110" s="0"/>
      <c r="XB110" s="0"/>
      <c r="XC110" s="0"/>
      <c r="XD110" s="0"/>
      <c r="XE110" s="0"/>
      <c r="XF110" s="0"/>
      <c r="XG110" s="0"/>
      <c r="XH110" s="0"/>
      <c r="XI110" s="0"/>
      <c r="XJ110" s="0"/>
      <c r="XK110" s="0"/>
      <c r="XL110" s="0"/>
      <c r="XM110" s="0"/>
      <c r="XN110" s="0"/>
      <c r="XO110" s="0"/>
      <c r="XP110" s="0"/>
      <c r="XQ110" s="0"/>
      <c r="XR110" s="0"/>
      <c r="XS110" s="0"/>
      <c r="XT110" s="0"/>
      <c r="XU110" s="0"/>
      <c r="XV110" s="0"/>
      <c r="XW110" s="0"/>
      <c r="XX110" s="0"/>
      <c r="XY110" s="0"/>
      <c r="XZ110" s="0"/>
      <c r="YA110" s="0"/>
      <c r="YB110" s="0"/>
      <c r="YC110" s="0"/>
      <c r="YD110" s="0"/>
      <c r="YE110" s="0"/>
      <c r="YF110" s="0"/>
      <c r="YG110" s="0"/>
      <c r="YH110" s="0"/>
      <c r="YI110" s="0"/>
      <c r="YJ110" s="0"/>
      <c r="YK110" s="0"/>
      <c r="YL110" s="0"/>
      <c r="YM110" s="0"/>
      <c r="YN110" s="0"/>
      <c r="YO110" s="0"/>
      <c r="YP110" s="0"/>
      <c r="YQ110" s="0"/>
      <c r="YR110" s="0"/>
      <c r="YS110" s="0"/>
      <c r="YT110" s="0"/>
      <c r="YU110" s="0"/>
      <c r="YV110" s="0"/>
      <c r="YW110" s="0"/>
      <c r="YX110" s="0"/>
      <c r="YY110" s="0"/>
      <c r="YZ110" s="0"/>
      <c r="ZA110" s="0"/>
      <c r="ZB110" s="0"/>
      <c r="ZC110" s="0"/>
      <c r="ZD110" s="0"/>
      <c r="ZE110" s="0"/>
      <c r="ZF110" s="0"/>
      <c r="ZG110" s="0"/>
      <c r="ZH110" s="0"/>
      <c r="ZI110" s="0"/>
      <c r="ZJ110" s="0"/>
      <c r="ZK110" s="0"/>
      <c r="ZL110" s="0"/>
      <c r="ZM110" s="0"/>
      <c r="ZN110" s="0"/>
      <c r="ZO110" s="0"/>
      <c r="ZP110" s="0"/>
      <c r="ZQ110" s="0"/>
      <c r="ZR110" s="0"/>
      <c r="ZS110" s="0"/>
      <c r="ZT110" s="0"/>
      <c r="ZU110" s="0"/>
      <c r="ZV110" s="0"/>
      <c r="ZW110" s="0"/>
      <c r="ZX110" s="0"/>
      <c r="ZY110" s="0"/>
      <c r="ZZ110" s="0"/>
      <c r="AAA110" s="0"/>
      <c r="AAB110" s="0"/>
      <c r="AAC110" s="0"/>
      <c r="AAD110" s="0"/>
      <c r="AAE110" s="0"/>
      <c r="AAF110" s="0"/>
      <c r="AAG110" s="0"/>
      <c r="AAH110" s="0"/>
      <c r="AAI110" s="0"/>
      <c r="AAJ110" s="0"/>
      <c r="AAK110" s="0"/>
      <c r="AAL110" s="0"/>
      <c r="AAM110" s="0"/>
      <c r="AAN110" s="0"/>
      <c r="AAO110" s="0"/>
      <c r="AAP110" s="0"/>
      <c r="AAQ110" s="0"/>
      <c r="AAR110" s="0"/>
      <c r="AAS110" s="0"/>
      <c r="AAT110" s="0"/>
      <c r="AAU110" s="0"/>
      <c r="AAV110" s="0"/>
      <c r="AAW110" s="0"/>
      <c r="AAX110" s="0"/>
      <c r="AAY110" s="0"/>
      <c r="AAZ110" s="0"/>
      <c r="ABA110" s="0"/>
      <c r="ABB110" s="0"/>
      <c r="ABC110" s="0"/>
      <c r="ABD110" s="0"/>
      <c r="ABE110" s="0"/>
      <c r="ABF110" s="0"/>
      <c r="ABG110" s="0"/>
      <c r="ABH110" s="0"/>
      <c r="ABI110" s="0"/>
      <c r="ABJ110" s="0"/>
      <c r="ABK110" s="0"/>
      <c r="ABL110" s="0"/>
      <c r="ABM110" s="0"/>
      <c r="ABN110" s="0"/>
      <c r="ABO110" s="0"/>
      <c r="ABP110" s="0"/>
      <c r="ABQ110" s="0"/>
      <c r="ABR110" s="0"/>
      <c r="ABS110" s="0"/>
      <c r="ABT110" s="0"/>
      <c r="ABU110" s="0"/>
      <c r="ABV110" s="0"/>
      <c r="ABW110" s="0"/>
      <c r="ABX110" s="0"/>
      <c r="ABY110" s="0"/>
      <c r="ABZ110" s="0"/>
      <c r="ACA110" s="0"/>
      <c r="ACB110" s="0"/>
      <c r="ACC110" s="0"/>
      <c r="ACD110" s="0"/>
      <c r="ACE110" s="0"/>
      <c r="ACF110" s="0"/>
      <c r="ACG110" s="0"/>
      <c r="ACH110" s="0"/>
      <c r="ACI110" s="0"/>
      <c r="ACJ110" s="0"/>
      <c r="ACK110" s="0"/>
      <c r="ACL110" s="0"/>
      <c r="ACM110" s="0"/>
      <c r="ACN110" s="0"/>
      <c r="ACO110" s="0"/>
      <c r="ACP110" s="0"/>
      <c r="ACQ110" s="0"/>
      <c r="ACR110" s="0"/>
      <c r="ACS110" s="0"/>
      <c r="ACT110" s="0"/>
      <c r="ACU110" s="0"/>
      <c r="ACV110" s="0"/>
      <c r="ACW110" s="0"/>
      <c r="ACX110" s="0"/>
      <c r="ACY110" s="0"/>
      <c r="ACZ110" s="0"/>
      <c r="ADA110" s="0"/>
      <c r="ADB110" s="0"/>
      <c r="ADC110" s="0"/>
      <c r="ADD110" s="0"/>
      <c r="ADE110" s="0"/>
      <c r="ADF110" s="0"/>
      <c r="ADG110" s="0"/>
      <c r="ADH110" s="0"/>
      <c r="ADI110" s="0"/>
      <c r="ADJ110" s="0"/>
      <c r="ADK110" s="0"/>
      <c r="ADL110" s="0"/>
      <c r="ADM110" s="0"/>
      <c r="ADN110" s="0"/>
      <c r="ADO110" s="0"/>
      <c r="ADP110" s="0"/>
      <c r="ADQ110" s="0"/>
      <c r="ADR110" s="0"/>
      <c r="ADS110" s="0"/>
      <c r="ADT110" s="0"/>
      <c r="ADU110" s="0"/>
      <c r="ADV110" s="0"/>
      <c r="ADW110" s="0"/>
      <c r="ADX110" s="0"/>
      <c r="ADY110" s="0"/>
      <c r="ADZ110" s="0"/>
      <c r="AEA110" s="0"/>
      <c r="AEB110" s="0"/>
      <c r="AEC110" s="0"/>
      <c r="AED110" s="0"/>
      <c r="AEE110" s="0"/>
      <c r="AEF110" s="0"/>
      <c r="AEG110" s="0"/>
      <c r="AEH110" s="0"/>
      <c r="AEI110" s="0"/>
      <c r="AEJ110" s="0"/>
      <c r="AEK110" s="0"/>
      <c r="AEL110" s="0"/>
      <c r="AEM110" s="0"/>
      <c r="AEN110" s="0"/>
      <c r="AEO110" s="0"/>
      <c r="AEP110" s="0"/>
      <c r="AEQ110" s="0"/>
      <c r="AER110" s="0"/>
      <c r="AES110" s="0"/>
      <c r="AET110" s="0"/>
      <c r="AEU110" s="0"/>
      <c r="AEV110" s="0"/>
      <c r="AEW110" s="0"/>
      <c r="AEX110" s="0"/>
      <c r="AEY110" s="0"/>
      <c r="AEZ110" s="0"/>
      <c r="AFA110" s="0"/>
      <c r="AFB110" s="0"/>
      <c r="AFC110" s="0"/>
      <c r="AFD110" s="0"/>
      <c r="AFE110" s="0"/>
      <c r="AFF110" s="0"/>
      <c r="AFG110" s="0"/>
      <c r="AFH110" s="0"/>
      <c r="AFI110" s="0"/>
      <c r="AFJ110" s="0"/>
      <c r="AFK110" s="0"/>
      <c r="AFL110" s="0"/>
      <c r="AFM110" s="0"/>
      <c r="AFN110" s="0"/>
      <c r="AFO110" s="0"/>
      <c r="AFP110" s="0"/>
      <c r="AFQ110" s="0"/>
      <c r="AFR110" s="0"/>
      <c r="AFS110" s="0"/>
      <c r="AFT110" s="0"/>
      <c r="AFU110" s="0"/>
      <c r="AFV110" s="0"/>
      <c r="AFW110" s="0"/>
      <c r="AFX110" s="0"/>
      <c r="AFY110" s="0"/>
      <c r="AFZ110" s="0"/>
      <c r="AGA110" s="0"/>
      <c r="AGB110" s="0"/>
      <c r="AGC110" s="0"/>
      <c r="AGD110" s="0"/>
      <c r="AGE110" s="0"/>
      <c r="AGF110" s="0"/>
      <c r="AGG110" s="0"/>
      <c r="AGH110" s="0"/>
      <c r="AGI110" s="0"/>
      <c r="AGJ110" s="0"/>
      <c r="AGK110" s="0"/>
      <c r="AGL110" s="0"/>
      <c r="AGM110" s="0"/>
      <c r="AGN110" s="0"/>
      <c r="AGO110" s="0"/>
      <c r="AGP110" s="0"/>
      <c r="AGQ110" s="0"/>
      <c r="AGR110" s="0"/>
      <c r="AGS110" s="0"/>
      <c r="AGT110" s="0"/>
      <c r="AGU110" s="0"/>
      <c r="AGV110" s="0"/>
      <c r="AGW110" s="0"/>
      <c r="AGX110" s="0"/>
      <c r="AGY110" s="0"/>
      <c r="AGZ110" s="0"/>
      <c r="AHA110" s="0"/>
      <c r="AHB110" s="0"/>
      <c r="AHC110" s="0"/>
      <c r="AHD110" s="0"/>
      <c r="AHE110" s="0"/>
      <c r="AHF110" s="0"/>
      <c r="AHG110" s="0"/>
      <c r="AHH110" s="0"/>
      <c r="AHI110" s="0"/>
      <c r="AHJ110" s="0"/>
      <c r="AHK110" s="0"/>
      <c r="AHL110" s="0"/>
      <c r="AHM110" s="0"/>
      <c r="AHN110" s="0"/>
      <c r="AHO110" s="0"/>
      <c r="AHP110" s="0"/>
      <c r="AHQ110" s="0"/>
      <c r="AHR110" s="0"/>
      <c r="AHS110" s="0"/>
      <c r="AHT110" s="0"/>
      <c r="AHU110" s="0"/>
      <c r="AHV110" s="0"/>
      <c r="AHW110" s="0"/>
      <c r="AHX110" s="0"/>
      <c r="AHY110" s="0"/>
      <c r="AHZ110" s="0"/>
      <c r="AIA110" s="0"/>
      <c r="AIB110" s="0"/>
      <c r="AIC110" s="0"/>
      <c r="AID110" s="0"/>
      <c r="AIE110" s="0"/>
      <c r="AIF110" s="0"/>
      <c r="AIG110" s="0"/>
      <c r="AIH110" s="0"/>
      <c r="AII110" s="0"/>
      <c r="AIJ110" s="0"/>
      <c r="AIK110" s="0"/>
      <c r="AIL110" s="0"/>
      <c r="AIM110" s="0"/>
      <c r="AIN110" s="0"/>
      <c r="AIO110" s="0"/>
      <c r="AIP110" s="0"/>
      <c r="AIQ110" s="0"/>
      <c r="AIR110" s="0"/>
      <c r="AIS110" s="0"/>
      <c r="AIT110" s="0"/>
      <c r="AIU110" s="0"/>
      <c r="AIV110" s="0"/>
      <c r="AIW110" s="0"/>
      <c r="AIX110" s="0"/>
      <c r="AIY110" s="0"/>
      <c r="AIZ110" s="0"/>
      <c r="AJA110" s="0"/>
      <c r="AJB110" s="0"/>
      <c r="AJC110" s="0"/>
      <c r="AJD110" s="0"/>
      <c r="AJE110" s="0"/>
      <c r="AJF110" s="0"/>
      <c r="AJG110" s="0"/>
      <c r="AJH110" s="0"/>
      <c r="AJI110" s="0"/>
      <c r="AJJ110" s="0"/>
      <c r="AJK110" s="0"/>
      <c r="AJL110" s="0"/>
      <c r="AJM110" s="0"/>
      <c r="AJN110" s="0"/>
      <c r="AJO110" s="0"/>
      <c r="AJP110" s="0"/>
      <c r="AJQ110" s="0"/>
      <c r="AJR110" s="0"/>
      <c r="AJS110" s="0"/>
      <c r="AJT110" s="0"/>
      <c r="AJU110" s="0"/>
      <c r="AJV110" s="0"/>
      <c r="AJW110" s="0"/>
      <c r="AJX110" s="0"/>
      <c r="AJY110" s="0"/>
      <c r="AJZ110" s="0"/>
      <c r="AKA110" s="0"/>
      <c r="AKB110" s="0"/>
      <c r="AKC110" s="0"/>
      <c r="AKD110" s="0"/>
      <c r="AKE110" s="0"/>
      <c r="AKF110" s="0"/>
      <c r="AKG110" s="0"/>
      <c r="AKH110" s="0"/>
      <c r="AKI110" s="0"/>
      <c r="AKJ110" s="0"/>
      <c r="AKK110" s="0"/>
      <c r="AKL110" s="0"/>
      <c r="AKM110" s="0"/>
      <c r="AKN110" s="0"/>
      <c r="AKO110" s="0"/>
      <c r="AKP110" s="0"/>
      <c r="AKQ110" s="0"/>
      <c r="AKR110" s="0"/>
      <c r="AKS110" s="0"/>
      <c r="AKT110" s="0"/>
      <c r="AKU110" s="0"/>
      <c r="AKV110" s="0"/>
      <c r="AKW110" s="0"/>
      <c r="AKX110" s="0"/>
      <c r="AKY110" s="0"/>
      <c r="AKZ110" s="0"/>
      <c r="ALA110" s="0"/>
      <c r="ALB110" s="0"/>
      <c r="ALC110" s="0"/>
      <c r="ALD110" s="0"/>
      <c r="ALE110" s="0"/>
      <c r="ALF110" s="0"/>
      <c r="ALG110" s="0"/>
      <c r="ALH110" s="0"/>
      <c r="ALI110" s="0"/>
      <c r="ALJ110" s="0"/>
      <c r="ALK110" s="0"/>
      <c r="ALL110" s="0"/>
      <c r="ALM110" s="0"/>
      <c r="ALN110" s="0"/>
      <c r="ALO110" s="0"/>
      <c r="ALP110" s="0"/>
      <c r="ALQ110" s="0"/>
      <c r="ALR110" s="0"/>
      <c r="ALS110" s="0"/>
      <c r="ALT110" s="0"/>
      <c r="ALU110" s="0"/>
      <c r="ALV110" s="0"/>
      <c r="ALW110" s="0"/>
      <c r="ALX110" s="0"/>
      <c r="ALY110" s="0"/>
      <c r="ALZ110" s="0"/>
      <c r="AMA110" s="0"/>
      <c r="AMB110" s="0"/>
      <c r="AMC110" s="0"/>
      <c r="AMD110" s="0"/>
      <c r="AME110" s="0"/>
      <c r="AMF110" s="0"/>
      <c r="AMG110" s="0"/>
      <c r="AMH110" s="0"/>
      <c r="AMI110" s="0"/>
      <c r="AMJ110" s="0"/>
    </row>
    <row r="111" customFormat="false" ht="14.4" hidden="false" customHeight="false" outlineLevel="0" collapsed="false">
      <c r="A111" s="80" t="n">
        <f aca="false">(B111/83)*100</f>
        <v>1.40963855421687</v>
      </c>
      <c r="B111" s="79" t="n">
        <v>1.17</v>
      </c>
      <c r="C111" s="79"/>
      <c r="D111" s="14" t="n">
        <f aca="false">E111/I111</f>
        <v>0.861788349514563</v>
      </c>
      <c r="E111" s="15" t="n">
        <f aca="false">(G111+F111)/2/H111</f>
        <v>443.821</v>
      </c>
      <c r="F111" s="38" t="n">
        <v>373.954</v>
      </c>
      <c r="G111" s="17" t="n">
        <v>513.688</v>
      </c>
      <c r="H111" s="39" t="n">
        <v>1</v>
      </c>
      <c r="I111" s="19" t="n">
        <v>515</v>
      </c>
      <c r="J111" s="64" t="n">
        <v>0.25</v>
      </c>
      <c r="N111" s="64" t="n">
        <v>14</v>
      </c>
      <c r="O111" s="64"/>
      <c r="P111" s="64"/>
      <c r="Q111" s="19" t="n">
        <f aca="false">M111*N111</f>
        <v>0</v>
      </c>
      <c r="R111" s="21" t="n">
        <f aca="false">A111*N111</f>
        <v>19.7349397590361</v>
      </c>
      <c r="T111" s="22" t="n">
        <f aca="false">(G111-F111)/H111/E111</f>
        <v>0.314843146223365</v>
      </c>
      <c r="V111" s="0"/>
      <c r="W111" s="0"/>
      <c r="X111" s="0"/>
      <c r="Y111" s="0"/>
      <c r="Z111" s="40" t="s">
        <v>182</v>
      </c>
      <c r="AA111" s="19" t="s">
        <v>183</v>
      </c>
      <c r="AB111" s="41" t="n">
        <v>2013</v>
      </c>
      <c r="AC111" s="84" t="s">
        <v>184</v>
      </c>
      <c r="AE111" s="19" t="n">
        <v>270.5</v>
      </c>
      <c r="AK111" s="66" t="n">
        <f aca="false">1070/J111*1000000000000</f>
        <v>4280000000000000</v>
      </c>
      <c r="AL111" s="85" t="s">
        <v>185</v>
      </c>
      <c r="AM111" s="19" t="s">
        <v>116</v>
      </c>
      <c r="AO111" s="40"/>
      <c r="AQ111" s="26" t="n">
        <v>8.4</v>
      </c>
      <c r="AR111" s="26" t="n">
        <v>8.4</v>
      </c>
      <c r="AS111" s="26" t="n">
        <v>8.4</v>
      </c>
      <c r="AU111" s="19" t="n">
        <v>0</v>
      </c>
      <c r="AW111" s="19" t="s">
        <v>117</v>
      </c>
      <c r="AX111" s="69" t="n">
        <v>0</v>
      </c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/>
      <c r="YV111" s="0"/>
      <c r="YW111" s="0"/>
      <c r="YX111" s="0"/>
      <c r="YY111" s="0"/>
      <c r="YZ111" s="0"/>
      <c r="ZA111" s="0"/>
      <c r="ZB111" s="0"/>
      <c r="ZC111" s="0"/>
      <c r="ZD111" s="0"/>
      <c r="ZE111" s="0"/>
      <c r="ZF111" s="0"/>
      <c r="ZG111" s="0"/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/>
      <c r="AAM111" s="0"/>
      <c r="AAN111" s="0"/>
      <c r="AAO111" s="0"/>
      <c r="AAP111" s="0"/>
      <c r="AAQ111" s="0"/>
      <c r="AAR111" s="0"/>
      <c r="AAS111" s="0"/>
      <c r="AAT111" s="0"/>
      <c r="AAU111" s="0"/>
      <c r="AAV111" s="0"/>
      <c r="AAW111" s="0"/>
      <c r="AAX111" s="0"/>
      <c r="AAY111" s="0"/>
      <c r="AAZ111" s="0"/>
      <c r="ABA111" s="0"/>
      <c r="ABB111" s="0"/>
      <c r="ABC111" s="0"/>
      <c r="ABD111" s="0"/>
      <c r="ABE111" s="0"/>
      <c r="ABF111" s="0"/>
      <c r="ABG111" s="0"/>
      <c r="ABH111" s="0"/>
      <c r="ABI111" s="0"/>
      <c r="ABJ111" s="0"/>
      <c r="ABK111" s="0"/>
      <c r="ABL111" s="0"/>
      <c r="ABM111" s="0"/>
      <c r="ABN111" s="0"/>
      <c r="ABO111" s="0"/>
      <c r="ABP111" s="0"/>
      <c r="ABQ111" s="0"/>
      <c r="ABR111" s="0"/>
      <c r="ABS111" s="0"/>
      <c r="ABT111" s="0"/>
      <c r="ABU111" s="0"/>
      <c r="ABV111" s="0"/>
      <c r="ABW111" s="0"/>
      <c r="ABX111" s="0"/>
      <c r="ABY111" s="0"/>
      <c r="ABZ111" s="0"/>
      <c r="ACA111" s="0"/>
      <c r="ACB111" s="0"/>
      <c r="ACC111" s="0"/>
      <c r="ACD111" s="0"/>
      <c r="ACE111" s="0"/>
      <c r="ACF111" s="0"/>
      <c r="ACG111" s="0"/>
      <c r="ACH111" s="0"/>
      <c r="ACI111" s="0"/>
      <c r="ACJ111" s="0"/>
      <c r="ACK111" s="0"/>
      <c r="ACL111" s="0"/>
      <c r="ACM111" s="0"/>
      <c r="ACN111" s="0"/>
      <c r="ACO111" s="0"/>
      <c r="ACP111" s="0"/>
      <c r="ACQ111" s="0"/>
      <c r="ACR111" s="0"/>
      <c r="ACS111" s="0"/>
      <c r="ACT111" s="0"/>
      <c r="ACU111" s="0"/>
      <c r="ACV111" s="0"/>
      <c r="ACW111" s="0"/>
      <c r="ACX111" s="0"/>
      <c r="ACY111" s="0"/>
      <c r="ACZ111" s="0"/>
      <c r="ADA111" s="0"/>
      <c r="ADB111" s="0"/>
      <c r="ADC111" s="0"/>
      <c r="ADD111" s="0"/>
      <c r="ADE111" s="0"/>
      <c r="ADF111" s="0"/>
      <c r="ADG111" s="0"/>
      <c r="ADH111" s="0"/>
      <c r="ADI111" s="0"/>
      <c r="ADJ111" s="0"/>
      <c r="ADK111" s="0"/>
      <c r="ADL111" s="0"/>
      <c r="ADM111" s="0"/>
      <c r="ADN111" s="0"/>
      <c r="ADO111" s="0"/>
      <c r="ADP111" s="0"/>
      <c r="ADQ111" s="0"/>
      <c r="ADR111" s="0"/>
      <c r="ADS111" s="0"/>
      <c r="ADT111" s="0"/>
      <c r="ADU111" s="0"/>
      <c r="ADV111" s="0"/>
      <c r="ADW111" s="0"/>
      <c r="ADX111" s="0"/>
      <c r="ADY111" s="0"/>
      <c r="ADZ111" s="0"/>
      <c r="AEA111" s="0"/>
      <c r="AEB111" s="0"/>
      <c r="AEC111" s="0"/>
      <c r="AED111" s="0"/>
      <c r="AEE111" s="0"/>
      <c r="AEF111" s="0"/>
      <c r="AEG111" s="0"/>
      <c r="AEH111" s="0"/>
      <c r="AEI111" s="0"/>
      <c r="AEJ111" s="0"/>
      <c r="AEK111" s="0"/>
      <c r="AEL111" s="0"/>
      <c r="AEM111" s="0"/>
      <c r="AEN111" s="0"/>
      <c r="AEO111" s="0"/>
      <c r="AEP111" s="0"/>
      <c r="AEQ111" s="0"/>
      <c r="AER111" s="0"/>
      <c r="AES111" s="0"/>
      <c r="AET111" s="0"/>
      <c r="AEU111" s="0"/>
      <c r="AEV111" s="0"/>
      <c r="AEW111" s="0"/>
      <c r="AEX111" s="0"/>
      <c r="AEY111" s="0"/>
      <c r="AEZ111" s="0"/>
      <c r="AFA111" s="0"/>
      <c r="AFB111" s="0"/>
      <c r="AFC111" s="0"/>
      <c r="AFD111" s="0"/>
      <c r="AFE111" s="0"/>
      <c r="AFF111" s="0"/>
      <c r="AFG111" s="0"/>
      <c r="AFH111" s="0"/>
      <c r="AFI111" s="0"/>
      <c r="AFJ111" s="0"/>
      <c r="AFK111" s="0"/>
      <c r="AFL111" s="0"/>
      <c r="AFM111" s="0"/>
      <c r="AFN111" s="0"/>
      <c r="AFO111" s="0"/>
      <c r="AFP111" s="0"/>
      <c r="AFQ111" s="0"/>
      <c r="AFR111" s="0"/>
      <c r="AFS111" s="0"/>
      <c r="AFT111" s="0"/>
      <c r="AFU111" s="0"/>
      <c r="AFV111" s="0"/>
      <c r="AFW111" s="0"/>
      <c r="AFX111" s="0"/>
      <c r="AFY111" s="0"/>
      <c r="AFZ111" s="0"/>
      <c r="AGA111" s="0"/>
      <c r="AGB111" s="0"/>
      <c r="AGC111" s="0"/>
      <c r="AGD111" s="0"/>
      <c r="AGE111" s="0"/>
      <c r="AGF111" s="0"/>
      <c r="AGG111" s="0"/>
      <c r="AGH111" s="0"/>
      <c r="AGI111" s="0"/>
      <c r="AGJ111" s="0"/>
      <c r="AGK111" s="0"/>
      <c r="AGL111" s="0"/>
      <c r="AGM111" s="0"/>
      <c r="AGN111" s="0"/>
      <c r="AGO111" s="0"/>
      <c r="AGP111" s="0"/>
      <c r="AGQ111" s="0"/>
      <c r="AGR111" s="0"/>
      <c r="AGS111" s="0"/>
      <c r="AGT111" s="0"/>
      <c r="AGU111" s="0"/>
      <c r="AGV111" s="0"/>
      <c r="AGW111" s="0"/>
      <c r="AGX111" s="0"/>
      <c r="AGY111" s="0"/>
      <c r="AGZ111" s="0"/>
      <c r="AHA111" s="0"/>
      <c r="AHB111" s="0"/>
      <c r="AHC111" s="0"/>
      <c r="AHD111" s="0"/>
      <c r="AHE111" s="0"/>
      <c r="AHF111" s="0"/>
      <c r="AHG111" s="0"/>
      <c r="AHH111" s="0"/>
      <c r="AHI111" s="0"/>
      <c r="AHJ111" s="0"/>
      <c r="AHK111" s="0"/>
      <c r="AHL111" s="0"/>
      <c r="AHM111" s="0"/>
      <c r="AHN111" s="0"/>
      <c r="AHO111" s="0"/>
      <c r="AHP111" s="0"/>
      <c r="AHQ111" s="0"/>
      <c r="AHR111" s="0"/>
      <c r="AHS111" s="0"/>
      <c r="AHT111" s="0"/>
      <c r="AHU111" s="0"/>
      <c r="AHV111" s="0"/>
      <c r="AHW111" s="0"/>
      <c r="AHX111" s="0"/>
      <c r="AHY111" s="0"/>
      <c r="AHZ111" s="0"/>
      <c r="AIA111" s="0"/>
      <c r="AIB111" s="0"/>
      <c r="AIC111" s="0"/>
      <c r="AID111" s="0"/>
      <c r="AIE111" s="0"/>
      <c r="AIF111" s="0"/>
      <c r="AIG111" s="0"/>
      <c r="AIH111" s="0"/>
      <c r="AII111" s="0"/>
      <c r="AIJ111" s="0"/>
      <c r="AIK111" s="0"/>
      <c r="AIL111" s="0"/>
      <c r="AIM111" s="0"/>
      <c r="AIN111" s="0"/>
      <c r="AIO111" s="0"/>
      <c r="AIP111" s="0"/>
      <c r="AIQ111" s="0"/>
      <c r="AIR111" s="0"/>
      <c r="AIS111" s="0"/>
      <c r="AIT111" s="0"/>
      <c r="AIU111" s="0"/>
      <c r="AIV111" s="0"/>
      <c r="AIW111" s="0"/>
      <c r="AIX111" s="0"/>
      <c r="AIY111" s="0"/>
      <c r="AIZ111" s="0"/>
      <c r="AJA111" s="0"/>
      <c r="AJB111" s="0"/>
      <c r="AJC111" s="0"/>
      <c r="AJD111" s="0"/>
      <c r="AJE111" s="0"/>
      <c r="AJF111" s="0"/>
      <c r="AJG111" s="0"/>
      <c r="AJH111" s="0"/>
      <c r="AJI111" s="0"/>
      <c r="AJJ111" s="0"/>
      <c r="AJK111" s="0"/>
      <c r="AJL111" s="0"/>
      <c r="AJM111" s="0"/>
      <c r="AJN111" s="0"/>
      <c r="AJO111" s="0"/>
      <c r="AJP111" s="0"/>
      <c r="AJQ111" s="0"/>
      <c r="AJR111" s="0"/>
      <c r="AJS111" s="0"/>
      <c r="AJT111" s="0"/>
      <c r="AJU111" s="0"/>
      <c r="AJV111" s="0"/>
      <c r="AJW111" s="0"/>
      <c r="AJX111" s="0"/>
      <c r="AJY111" s="0"/>
      <c r="AJZ111" s="0"/>
      <c r="AKA111" s="0"/>
      <c r="AKB111" s="0"/>
      <c r="AKC111" s="0"/>
      <c r="AKD111" s="0"/>
      <c r="AKE111" s="0"/>
      <c r="AKF111" s="0"/>
      <c r="AKG111" s="0"/>
      <c r="AKH111" s="0"/>
      <c r="AKI111" s="0"/>
      <c r="AKJ111" s="0"/>
      <c r="AKK111" s="0"/>
      <c r="AKL111" s="0"/>
      <c r="AKM111" s="0"/>
      <c r="AKN111" s="0"/>
      <c r="AKO111" s="0"/>
      <c r="AKP111" s="0"/>
      <c r="AKQ111" s="0"/>
      <c r="AKR111" s="0"/>
      <c r="AKS111" s="0"/>
      <c r="AKT111" s="0"/>
      <c r="AKU111" s="0"/>
      <c r="AKV111" s="0"/>
      <c r="AKW111" s="0"/>
      <c r="AKX111" s="0"/>
      <c r="AKY111" s="0"/>
      <c r="AKZ111" s="0"/>
      <c r="ALA111" s="0"/>
      <c r="ALB111" s="0"/>
      <c r="ALC111" s="0"/>
      <c r="ALD111" s="0"/>
      <c r="ALE111" s="0"/>
      <c r="ALF111" s="0"/>
      <c r="ALG111" s="0"/>
      <c r="ALH111" s="0"/>
      <c r="ALI111" s="0"/>
      <c r="ALJ111" s="0"/>
      <c r="ALK111" s="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  <c r="AMJ111" s="0"/>
    </row>
    <row r="112" customFormat="false" ht="14.4" hidden="false" customHeight="false" outlineLevel="0" collapsed="false">
      <c r="A112" s="80" t="n">
        <f aca="false">(B112/83)*100</f>
        <v>1.40963855421687</v>
      </c>
      <c r="B112" s="79" t="n">
        <v>1.17</v>
      </c>
      <c r="C112" s="79"/>
      <c r="D112" s="14" t="n">
        <f aca="false">E112/I112</f>
        <v>0.850160194174757</v>
      </c>
      <c r="E112" s="15" t="n">
        <f aca="false">(G112+F112)/2/H112</f>
        <v>437.8325</v>
      </c>
      <c r="F112" s="38" t="n">
        <v>393.916</v>
      </c>
      <c r="G112" s="17" t="n">
        <v>481.749</v>
      </c>
      <c r="H112" s="39" t="n">
        <v>1</v>
      </c>
      <c r="I112" s="19" t="n">
        <v>515</v>
      </c>
      <c r="J112" s="64" t="n">
        <v>0.25</v>
      </c>
      <c r="N112" s="64" t="n">
        <v>16</v>
      </c>
      <c r="O112" s="64"/>
      <c r="P112" s="64"/>
      <c r="Q112" s="19" t="n">
        <f aca="false">M112*N112</f>
        <v>0</v>
      </c>
      <c r="R112" s="21" t="n">
        <f aca="false">A112*N112</f>
        <v>22.5542168674699</v>
      </c>
      <c r="T112" s="22" t="n">
        <f aca="false">(G112-F112)/H112/E112</f>
        <v>0.200608680260145</v>
      </c>
      <c r="V112" s="0"/>
      <c r="W112" s="0"/>
      <c r="X112" s="0"/>
      <c r="Y112" s="0"/>
      <c r="Z112" s="40" t="s">
        <v>182</v>
      </c>
      <c r="AA112" s="19" t="s">
        <v>183</v>
      </c>
      <c r="AB112" s="41" t="n">
        <v>2013</v>
      </c>
      <c r="AC112" s="84" t="s">
        <v>184</v>
      </c>
      <c r="AE112" s="19" t="n">
        <v>270.5</v>
      </c>
      <c r="AK112" s="66" t="n">
        <f aca="false">1070/J112*1000000000000</f>
        <v>4280000000000000</v>
      </c>
      <c r="AL112" s="85" t="s">
        <v>185</v>
      </c>
      <c r="AM112" s="19" t="s">
        <v>116</v>
      </c>
      <c r="AO112" s="40"/>
      <c r="AQ112" s="26" t="n">
        <v>8.4</v>
      </c>
      <c r="AR112" s="26" t="n">
        <v>8.4</v>
      </c>
      <c r="AS112" s="26" t="n">
        <v>8.4</v>
      </c>
      <c r="AU112" s="19" t="n">
        <v>0</v>
      </c>
      <c r="AW112" s="19" t="s">
        <v>117</v>
      </c>
      <c r="AX112" s="69" t="n">
        <v>0</v>
      </c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/>
      <c r="YV112" s="0"/>
      <c r="YW112" s="0"/>
      <c r="YX112" s="0"/>
      <c r="YY112" s="0"/>
      <c r="YZ112" s="0"/>
      <c r="ZA112" s="0"/>
      <c r="ZB112" s="0"/>
      <c r="ZC112" s="0"/>
      <c r="ZD112" s="0"/>
      <c r="ZE112" s="0"/>
      <c r="ZF112" s="0"/>
      <c r="ZG112" s="0"/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/>
      <c r="AAM112" s="0"/>
      <c r="AAN112" s="0"/>
      <c r="AAO112" s="0"/>
      <c r="AAP112" s="0"/>
      <c r="AAQ112" s="0"/>
      <c r="AAR112" s="0"/>
      <c r="AAS112" s="0"/>
      <c r="AAT112" s="0"/>
      <c r="AAU112" s="0"/>
      <c r="AAV112" s="0"/>
      <c r="AAW112" s="0"/>
      <c r="AAX112" s="0"/>
      <c r="AAY112" s="0"/>
      <c r="AAZ112" s="0"/>
      <c r="ABA112" s="0"/>
      <c r="ABB112" s="0"/>
      <c r="ABC112" s="0"/>
      <c r="ABD112" s="0"/>
      <c r="ABE112" s="0"/>
      <c r="ABF112" s="0"/>
      <c r="ABG112" s="0"/>
      <c r="ABH112" s="0"/>
      <c r="ABI112" s="0"/>
      <c r="ABJ112" s="0"/>
      <c r="ABK112" s="0"/>
      <c r="ABL112" s="0"/>
      <c r="ABM112" s="0"/>
      <c r="ABN112" s="0"/>
      <c r="ABO112" s="0"/>
      <c r="ABP112" s="0"/>
      <c r="ABQ112" s="0"/>
      <c r="ABR112" s="0"/>
      <c r="ABS112" s="0"/>
      <c r="ABT112" s="0"/>
      <c r="ABU112" s="0"/>
      <c r="ABV112" s="0"/>
      <c r="ABW112" s="0"/>
      <c r="ABX112" s="0"/>
      <c r="ABY112" s="0"/>
      <c r="ABZ112" s="0"/>
      <c r="ACA112" s="0"/>
      <c r="ACB112" s="0"/>
      <c r="ACC112" s="0"/>
      <c r="ACD112" s="0"/>
      <c r="ACE112" s="0"/>
      <c r="ACF112" s="0"/>
      <c r="ACG112" s="0"/>
      <c r="ACH112" s="0"/>
      <c r="ACI112" s="0"/>
      <c r="ACJ112" s="0"/>
      <c r="ACK112" s="0"/>
      <c r="ACL112" s="0"/>
      <c r="ACM112" s="0"/>
      <c r="ACN112" s="0"/>
      <c r="ACO112" s="0"/>
      <c r="ACP112" s="0"/>
      <c r="ACQ112" s="0"/>
      <c r="ACR112" s="0"/>
      <c r="ACS112" s="0"/>
      <c r="ACT112" s="0"/>
      <c r="ACU112" s="0"/>
      <c r="ACV112" s="0"/>
      <c r="ACW112" s="0"/>
      <c r="ACX112" s="0"/>
      <c r="ACY112" s="0"/>
      <c r="ACZ112" s="0"/>
      <c r="ADA112" s="0"/>
      <c r="ADB112" s="0"/>
      <c r="ADC112" s="0"/>
      <c r="ADD112" s="0"/>
      <c r="ADE112" s="0"/>
      <c r="ADF112" s="0"/>
      <c r="ADG112" s="0"/>
      <c r="ADH112" s="0"/>
      <c r="ADI112" s="0"/>
      <c r="ADJ112" s="0"/>
      <c r="ADK112" s="0"/>
      <c r="ADL112" s="0"/>
      <c r="ADM112" s="0"/>
      <c r="ADN112" s="0"/>
      <c r="ADO112" s="0"/>
      <c r="ADP112" s="0"/>
      <c r="ADQ112" s="0"/>
      <c r="ADR112" s="0"/>
      <c r="ADS112" s="0"/>
      <c r="ADT112" s="0"/>
      <c r="ADU112" s="0"/>
      <c r="ADV112" s="0"/>
      <c r="ADW112" s="0"/>
      <c r="ADX112" s="0"/>
      <c r="ADY112" s="0"/>
      <c r="ADZ112" s="0"/>
      <c r="AEA112" s="0"/>
      <c r="AEB112" s="0"/>
      <c r="AEC112" s="0"/>
      <c r="AED112" s="0"/>
      <c r="AEE112" s="0"/>
      <c r="AEF112" s="0"/>
      <c r="AEG112" s="0"/>
      <c r="AEH112" s="0"/>
      <c r="AEI112" s="0"/>
      <c r="AEJ112" s="0"/>
      <c r="AEK112" s="0"/>
      <c r="AEL112" s="0"/>
      <c r="AEM112" s="0"/>
      <c r="AEN112" s="0"/>
      <c r="AEO112" s="0"/>
      <c r="AEP112" s="0"/>
      <c r="AEQ112" s="0"/>
      <c r="AER112" s="0"/>
      <c r="AES112" s="0"/>
      <c r="AET112" s="0"/>
      <c r="AEU112" s="0"/>
      <c r="AEV112" s="0"/>
      <c r="AEW112" s="0"/>
      <c r="AEX112" s="0"/>
      <c r="AEY112" s="0"/>
      <c r="AEZ112" s="0"/>
      <c r="AFA112" s="0"/>
      <c r="AFB112" s="0"/>
      <c r="AFC112" s="0"/>
      <c r="AFD112" s="0"/>
      <c r="AFE112" s="0"/>
      <c r="AFF112" s="0"/>
      <c r="AFG112" s="0"/>
      <c r="AFH112" s="0"/>
      <c r="AFI112" s="0"/>
      <c r="AFJ112" s="0"/>
      <c r="AFK112" s="0"/>
      <c r="AFL112" s="0"/>
      <c r="AFM112" s="0"/>
      <c r="AFN112" s="0"/>
      <c r="AFO112" s="0"/>
      <c r="AFP112" s="0"/>
      <c r="AFQ112" s="0"/>
      <c r="AFR112" s="0"/>
      <c r="AFS112" s="0"/>
      <c r="AFT112" s="0"/>
      <c r="AFU112" s="0"/>
      <c r="AFV112" s="0"/>
      <c r="AFW112" s="0"/>
      <c r="AFX112" s="0"/>
      <c r="AFY112" s="0"/>
      <c r="AFZ112" s="0"/>
      <c r="AGA112" s="0"/>
      <c r="AGB112" s="0"/>
      <c r="AGC112" s="0"/>
      <c r="AGD112" s="0"/>
      <c r="AGE112" s="0"/>
      <c r="AGF112" s="0"/>
      <c r="AGG112" s="0"/>
      <c r="AGH112" s="0"/>
      <c r="AGI112" s="0"/>
      <c r="AGJ112" s="0"/>
      <c r="AGK112" s="0"/>
      <c r="AGL112" s="0"/>
      <c r="AGM112" s="0"/>
      <c r="AGN112" s="0"/>
      <c r="AGO112" s="0"/>
      <c r="AGP112" s="0"/>
      <c r="AGQ112" s="0"/>
      <c r="AGR112" s="0"/>
      <c r="AGS112" s="0"/>
      <c r="AGT112" s="0"/>
      <c r="AGU112" s="0"/>
      <c r="AGV112" s="0"/>
      <c r="AGW112" s="0"/>
      <c r="AGX112" s="0"/>
      <c r="AGY112" s="0"/>
      <c r="AGZ112" s="0"/>
      <c r="AHA112" s="0"/>
      <c r="AHB112" s="0"/>
      <c r="AHC112" s="0"/>
      <c r="AHD112" s="0"/>
      <c r="AHE112" s="0"/>
      <c r="AHF112" s="0"/>
      <c r="AHG112" s="0"/>
      <c r="AHH112" s="0"/>
      <c r="AHI112" s="0"/>
      <c r="AHJ112" s="0"/>
      <c r="AHK112" s="0"/>
      <c r="AHL112" s="0"/>
      <c r="AHM112" s="0"/>
      <c r="AHN112" s="0"/>
      <c r="AHO112" s="0"/>
      <c r="AHP112" s="0"/>
      <c r="AHQ112" s="0"/>
      <c r="AHR112" s="0"/>
      <c r="AHS112" s="0"/>
      <c r="AHT112" s="0"/>
      <c r="AHU112" s="0"/>
      <c r="AHV112" s="0"/>
      <c r="AHW112" s="0"/>
      <c r="AHX112" s="0"/>
      <c r="AHY112" s="0"/>
      <c r="AHZ112" s="0"/>
      <c r="AIA112" s="0"/>
      <c r="AIB112" s="0"/>
      <c r="AIC112" s="0"/>
      <c r="AID112" s="0"/>
      <c r="AIE112" s="0"/>
      <c r="AIF112" s="0"/>
      <c r="AIG112" s="0"/>
      <c r="AIH112" s="0"/>
      <c r="AII112" s="0"/>
      <c r="AIJ112" s="0"/>
      <c r="AIK112" s="0"/>
      <c r="AIL112" s="0"/>
      <c r="AIM112" s="0"/>
      <c r="AIN112" s="0"/>
      <c r="AIO112" s="0"/>
      <c r="AIP112" s="0"/>
      <c r="AIQ112" s="0"/>
      <c r="AIR112" s="0"/>
      <c r="AIS112" s="0"/>
      <c r="AIT112" s="0"/>
      <c r="AIU112" s="0"/>
      <c r="AIV112" s="0"/>
      <c r="AIW112" s="0"/>
      <c r="AIX112" s="0"/>
      <c r="AIY112" s="0"/>
      <c r="AIZ112" s="0"/>
      <c r="AJA112" s="0"/>
      <c r="AJB112" s="0"/>
      <c r="AJC112" s="0"/>
      <c r="AJD112" s="0"/>
      <c r="AJE112" s="0"/>
      <c r="AJF112" s="0"/>
      <c r="AJG112" s="0"/>
      <c r="AJH112" s="0"/>
      <c r="AJI112" s="0"/>
      <c r="AJJ112" s="0"/>
      <c r="AJK112" s="0"/>
      <c r="AJL112" s="0"/>
      <c r="AJM112" s="0"/>
      <c r="AJN112" s="0"/>
      <c r="AJO112" s="0"/>
      <c r="AJP112" s="0"/>
      <c r="AJQ112" s="0"/>
      <c r="AJR112" s="0"/>
      <c r="AJS112" s="0"/>
      <c r="AJT112" s="0"/>
      <c r="AJU112" s="0"/>
      <c r="AJV112" s="0"/>
      <c r="AJW112" s="0"/>
      <c r="AJX112" s="0"/>
      <c r="AJY112" s="0"/>
      <c r="AJZ112" s="0"/>
      <c r="AKA112" s="0"/>
      <c r="AKB112" s="0"/>
      <c r="AKC112" s="0"/>
      <c r="AKD112" s="0"/>
      <c r="AKE112" s="0"/>
      <c r="AKF112" s="0"/>
      <c r="AKG112" s="0"/>
      <c r="AKH112" s="0"/>
      <c r="AKI112" s="0"/>
      <c r="AKJ112" s="0"/>
      <c r="AKK112" s="0"/>
      <c r="AKL112" s="0"/>
      <c r="AKM112" s="0"/>
      <c r="AKN112" s="0"/>
      <c r="AKO112" s="0"/>
      <c r="AKP112" s="0"/>
      <c r="AKQ112" s="0"/>
      <c r="AKR112" s="0"/>
      <c r="AKS112" s="0"/>
      <c r="AKT112" s="0"/>
      <c r="AKU112" s="0"/>
      <c r="AKV112" s="0"/>
      <c r="AKW112" s="0"/>
      <c r="AKX112" s="0"/>
      <c r="AKY112" s="0"/>
      <c r="AKZ112" s="0"/>
      <c r="ALA112" s="0"/>
      <c r="ALB112" s="0"/>
      <c r="ALC112" s="0"/>
      <c r="ALD112" s="0"/>
      <c r="ALE112" s="0"/>
      <c r="ALF112" s="0"/>
      <c r="ALG112" s="0"/>
      <c r="ALH112" s="0"/>
      <c r="ALI112" s="0"/>
      <c r="ALJ112" s="0"/>
      <c r="ALK112" s="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  <c r="AMJ112" s="0"/>
    </row>
    <row r="113" customFormat="false" ht="14.4" hidden="false" customHeight="false" outlineLevel="0" collapsed="false">
      <c r="A113" s="80" t="n">
        <f aca="false">(B113/83)*100</f>
        <v>1.40963855421687</v>
      </c>
      <c r="B113" s="79" t="n">
        <v>1.17</v>
      </c>
      <c r="C113" s="79"/>
      <c r="D113" s="14" t="n">
        <f aca="false">E113/I113</f>
        <v>0.934142718446602</v>
      </c>
      <c r="E113" s="15" t="n">
        <f aca="false">(G113+F113)/2/H113</f>
        <v>481.0835</v>
      </c>
      <c r="F113" s="38" t="n">
        <v>436.502</v>
      </c>
      <c r="G113" s="17" t="n">
        <v>525.665</v>
      </c>
      <c r="H113" s="39" t="n">
        <v>1</v>
      </c>
      <c r="I113" s="19" t="n">
        <v>515</v>
      </c>
      <c r="J113" s="64" t="n">
        <v>0.25</v>
      </c>
      <c r="N113" s="64" t="n">
        <v>17</v>
      </c>
      <c r="O113" s="64"/>
      <c r="P113" s="64"/>
      <c r="Q113" s="19" t="n">
        <f aca="false">M113*N113</f>
        <v>0</v>
      </c>
      <c r="R113" s="21" t="n">
        <f aca="false">A113*N113</f>
        <v>23.9638554216867</v>
      </c>
      <c r="T113" s="22" t="n">
        <f aca="false">(G113-F113)/H113/E113</f>
        <v>0.185337888329157</v>
      </c>
      <c r="V113" s="0"/>
      <c r="W113" s="0"/>
      <c r="X113" s="0"/>
      <c r="Y113" s="0"/>
      <c r="Z113" s="40" t="s">
        <v>182</v>
      </c>
      <c r="AA113" s="19" t="s">
        <v>183</v>
      </c>
      <c r="AB113" s="41" t="n">
        <v>2013</v>
      </c>
      <c r="AC113" s="84" t="s">
        <v>184</v>
      </c>
      <c r="AE113" s="19" t="n">
        <v>270.5</v>
      </c>
      <c r="AK113" s="66" t="n">
        <f aca="false">1070/J113*1000000000000</f>
        <v>4280000000000000</v>
      </c>
      <c r="AL113" s="85" t="s">
        <v>185</v>
      </c>
      <c r="AM113" s="19" t="s">
        <v>116</v>
      </c>
      <c r="AO113" s="40"/>
      <c r="AQ113" s="26" t="n">
        <v>8.4</v>
      </c>
      <c r="AR113" s="26" t="n">
        <v>8.4</v>
      </c>
      <c r="AS113" s="26" t="n">
        <v>8.4</v>
      </c>
      <c r="AU113" s="19" t="n">
        <v>0</v>
      </c>
      <c r="AW113" s="19" t="s">
        <v>117</v>
      </c>
      <c r="AX113" s="69" t="n">
        <v>0</v>
      </c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/>
      <c r="YV113" s="0"/>
      <c r="YW113" s="0"/>
      <c r="YX113" s="0"/>
      <c r="YY113" s="0"/>
      <c r="YZ113" s="0"/>
      <c r="ZA113" s="0"/>
      <c r="ZB113" s="0"/>
      <c r="ZC113" s="0"/>
      <c r="ZD113" s="0"/>
      <c r="ZE113" s="0"/>
      <c r="ZF113" s="0"/>
      <c r="ZG113" s="0"/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/>
      <c r="AAM113" s="0"/>
      <c r="AAN113" s="0"/>
      <c r="AAO113" s="0"/>
      <c r="AAP113" s="0"/>
      <c r="AAQ113" s="0"/>
      <c r="AAR113" s="0"/>
      <c r="AAS113" s="0"/>
      <c r="AAT113" s="0"/>
      <c r="AAU113" s="0"/>
      <c r="AAV113" s="0"/>
      <c r="AAW113" s="0"/>
      <c r="AAX113" s="0"/>
      <c r="AAY113" s="0"/>
      <c r="AAZ113" s="0"/>
      <c r="ABA113" s="0"/>
      <c r="ABB113" s="0"/>
      <c r="ABC113" s="0"/>
      <c r="ABD113" s="0"/>
      <c r="ABE113" s="0"/>
      <c r="ABF113" s="0"/>
      <c r="ABG113" s="0"/>
      <c r="ABH113" s="0"/>
      <c r="ABI113" s="0"/>
      <c r="ABJ113" s="0"/>
      <c r="ABK113" s="0"/>
      <c r="ABL113" s="0"/>
      <c r="ABM113" s="0"/>
      <c r="ABN113" s="0"/>
      <c r="ABO113" s="0"/>
      <c r="ABP113" s="0"/>
      <c r="ABQ113" s="0"/>
      <c r="ABR113" s="0"/>
      <c r="ABS113" s="0"/>
      <c r="ABT113" s="0"/>
      <c r="ABU113" s="0"/>
      <c r="ABV113" s="0"/>
      <c r="ABW113" s="0"/>
      <c r="ABX113" s="0"/>
      <c r="ABY113" s="0"/>
      <c r="ABZ113" s="0"/>
      <c r="ACA113" s="0"/>
      <c r="ACB113" s="0"/>
      <c r="ACC113" s="0"/>
      <c r="ACD113" s="0"/>
      <c r="ACE113" s="0"/>
      <c r="ACF113" s="0"/>
      <c r="ACG113" s="0"/>
      <c r="ACH113" s="0"/>
      <c r="ACI113" s="0"/>
      <c r="ACJ113" s="0"/>
      <c r="ACK113" s="0"/>
      <c r="ACL113" s="0"/>
      <c r="ACM113" s="0"/>
      <c r="ACN113" s="0"/>
      <c r="ACO113" s="0"/>
      <c r="ACP113" s="0"/>
      <c r="ACQ113" s="0"/>
      <c r="ACR113" s="0"/>
      <c r="ACS113" s="0"/>
      <c r="ACT113" s="0"/>
      <c r="ACU113" s="0"/>
      <c r="ACV113" s="0"/>
      <c r="ACW113" s="0"/>
      <c r="ACX113" s="0"/>
      <c r="ACY113" s="0"/>
      <c r="ACZ113" s="0"/>
      <c r="ADA113" s="0"/>
      <c r="ADB113" s="0"/>
      <c r="ADC113" s="0"/>
      <c r="ADD113" s="0"/>
      <c r="ADE113" s="0"/>
      <c r="ADF113" s="0"/>
      <c r="ADG113" s="0"/>
      <c r="ADH113" s="0"/>
      <c r="ADI113" s="0"/>
      <c r="ADJ113" s="0"/>
      <c r="ADK113" s="0"/>
      <c r="ADL113" s="0"/>
      <c r="ADM113" s="0"/>
      <c r="ADN113" s="0"/>
      <c r="ADO113" s="0"/>
      <c r="ADP113" s="0"/>
      <c r="ADQ113" s="0"/>
      <c r="ADR113" s="0"/>
      <c r="ADS113" s="0"/>
      <c r="ADT113" s="0"/>
      <c r="ADU113" s="0"/>
      <c r="ADV113" s="0"/>
      <c r="ADW113" s="0"/>
      <c r="ADX113" s="0"/>
      <c r="ADY113" s="0"/>
      <c r="ADZ113" s="0"/>
      <c r="AEA113" s="0"/>
      <c r="AEB113" s="0"/>
      <c r="AEC113" s="0"/>
      <c r="AED113" s="0"/>
      <c r="AEE113" s="0"/>
      <c r="AEF113" s="0"/>
      <c r="AEG113" s="0"/>
      <c r="AEH113" s="0"/>
      <c r="AEI113" s="0"/>
      <c r="AEJ113" s="0"/>
      <c r="AEK113" s="0"/>
      <c r="AEL113" s="0"/>
      <c r="AEM113" s="0"/>
      <c r="AEN113" s="0"/>
      <c r="AEO113" s="0"/>
      <c r="AEP113" s="0"/>
      <c r="AEQ113" s="0"/>
      <c r="AER113" s="0"/>
      <c r="AES113" s="0"/>
      <c r="AET113" s="0"/>
      <c r="AEU113" s="0"/>
      <c r="AEV113" s="0"/>
      <c r="AEW113" s="0"/>
      <c r="AEX113" s="0"/>
      <c r="AEY113" s="0"/>
      <c r="AEZ113" s="0"/>
      <c r="AFA113" s="0"/>
      <c r="AFB113" s="0"/>
      <c r="AFC113" s="0"/>
      <c r="AFD113" s="0"/>
      <c r="AFE113" s="0"/>
      <c r="AFF113" s="0"/>
      <c r="AFG113" s="0"/>
      <c r="AFH113" s="0"/>
      <c r="AFI113" s="0"/>
      <c r="AFJ113" s="0"/>
      <c r="AFK113" s="0"/>
      <c r="AFL113" s="0"/>
      <c r="AFM113" s="0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  <c r="AGX113" s="0"/>
      <c r="AGY113" s="0"/>
      <c r="AGZ113" s="0"/>
      <c r="AHA113" s="0"/>
      <c r="AHB113" s="0"/>
      <c r="AHC113" s="0"/>
      <c r="AHD113" s="0"/>
      <c r="AHE113" s="0"/>
      <c r="AHF113" s="0"/>
      <c r="AHG113" s="0"/>
      <c r="AHH113" s="0"/>
      <c r="AHI113" s="0"/>
      <c r="AHJ113" s="0"/>
      <c r="AHK113" s="0"/>
      <c r="AHL113" s="0"/>
      <c r="AHM113" s="0"/>
      <c r="AHN113" s="0"/>
      <c r="AHO113" s="0"/>
      <c r="AHP113" s="0"/>
      <c r="AHQ113" s="0"/>
      <c r="AHR113" s="0"/>
      <c r="AHS113" s="0"/>
      <c r="AHT113" s="0"/>
      <c r="AHU113" s="0"/>
      <c r="AHV113" s="0"/>
      <c r="AHW113" s="0"/>
      <c r="AHX113" s="0"/>
      <c r="AHY113" s="0"/>
      <c r="AHZ113" s="0"/>
      <c r="AIA113" s="0"/>
      <c r="AIB113" s="0"/>
      <c r="AIC113" s="0"/>
      <c r="AID113" s="0"/>
      <c r="AIE113" s="0"/>
      <c r="AIF113" s="0"/>
      <c r="AIG113" s="0"/>
      <c r="AIH113" s="0"/>
      <c r="AII113" s="0"/>
      <c r="AIJ113" s="0"/>
      <c r="AIK113" s="0"/>
      <c r="AIL113" s="0"/>
      <c r="AIM113" s="0"/>
      <c r="AIN113" s="0"/>
      <c r="AIO113" s="0"/>
      <c r="AIP113" s="0"/>
      <c r="AIQ113" s="0"/>
      <c r="AIR113" s="0"/>
      <c r="AIS113" s="0"/>
      <c r="AIT113" s="0"/>
      <c r="AIU113" s="0"/>
      <c r="AIV113" s="0"/>
      <c r="AIW113" s="0"/>
      <c r="AIX113" s="0"/>
      <c r="AIY113" s="0"/>
      <c r="AIZ113" s="0"/>
      <c r="AJA113" s="0"/>
      <c r="AJB113" s="0"/>
      <c r="AJC113" s="0"/>
      <c r="AJD113" s="0"/>
      <c r="AJE113" s="0"/>
      <c r="AJF113" s="0"/>
      <c r="AJG113" s="0"/>
      <c r="AJH113" s="0"/>
      <c r="AJI113" s="0"/>
      <c r="AJJ113" s="0"/>
      <c r="AJK113" s="0"/>
      <c r="AJL113" s="0"/>
      <c r="AJM113" s="0"/>
      <c r="AJN113" s="0"/>
      <c r="AJO113" s="0"/>
      <c r="AJP113" s="0"/>
      <c r="AJQ113" s="0"/>
      <c r="AJR113" s="0"/>
      <c r="AJS113" s="0"/>
      <c r="AJT113" s="0"/>
      <c r="AJU113" s="0"/>
      <c r="AJV113" s="0"/>
      <c r="AJW113" s="0"/>
      <c r="AJX113" s="0"/>
      <c r="AJY113" s="0"/>
      <c r="AJZ113" s="0"/>
      <c r="AKA113" s="0"/>
      <c r="AKB113" s="0"/>
      <c r="AKC113" s="0"/>
      <c r="AKD113" s="0"/>
      <c r="AKE113" s="0"/>
      <c r="AKF113" s="0"/>
      <c r="AKG113" s="0"/>
      <c r="AKH113" s="0"/>
      <c r="AKI113" s="0"/>
      <c r="AKJ113" s="0"/>
      <c r="AKK113" s="0"/>
      <c r="AKL113" s="0"/>
      <c r="AKM113" s="0"/>
      <c r="AKN113" s="0"/>
      <c r="AKO113" s="0"/>
      <c r="AKP113" s="0"/>
      <c r="AKQ113" s="0"/>
      <c r="AKR113" s="0"/>
      <c r="AKS113" s="0"/>
      <c r="AKT113" s="0"/>
      <c r="AKU113" s="0"/>
      <c r="AKV113" s="0"/>
      <c r="AKW113" s="0"/>
      <c r="AKX113" s="0"/>
      <c r="AKY113" s="0"/>
      <c r="AKZ113" s="0"/>
      <c r="ALA113" s="0"/>
      <c r="ALB113" s="0"/>
      <c r="ALC113" s="0"/>
      <c r="ALD113" s="0"/>
      <c r="ALE113" s="0"/>
      <c r="ALF113" s="0"/>
      <c r="ALG113" s="0"/>
      <c r="ALH113" s="0"/>
      <c r="ALI113" s="0"/>
      <c r="ALJ113" s="0"/>
      <c r="ALK113" s="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  <c r="AMJ113" s="0"/>
    </row>
    <row r="114" customFormat="false" ht="14.4" hidden="false" customHeight="false" outlineLevel="0" collapsed="false">
      <c r="A114" s="80" t="n">
        <f aca="false">(B114/83)*100</f>
        <v>1.40963855421687</v>
      </c>
      <c r="B114" s="79" t="n">
        <v>1.17</v>
      </c>
      <c r="C114" s="79"/>
      <c r="D114" s="14" t="n">
        <f aca="false">E114/I114</f>
        <v>0.816567961165049</v>
      </c>
      <c r="E114" s="15" t="n">
        <f aca="false">(G114+F114)/2/H114</f>
        <v>420.5325</v>
      </c>
      <c r="F114" s="38" t="n">
        <v>384.601</v>
      </c>
      <c r="G114" s="17" t="n">
        <v>456.464</v>
      </c>
      <c r="H114" s="39" t="n">
        <v>1</v>
      </c>
      <c r="I114" s="19" t="n">
        <v>515</v>
      </c>
      <c r="J114" s="64" t="n">
        <v>0.25</v>
      </c>
      <c r="N114" s="64" t="n">
        <v>19</v>
      </c>
      <c r="O114" s="64"/>
      <c r="P114" s="64"/>
      <c r="Q114" s="19" t="n">
        <f aca="false">M114*N114</f>
        <v>0</v>
      </c>
      <c r="R114" s="21" t="n">
        <f aca="false">A114*N114</f>
        <v>26.7831325301205</v>
      </c>
      <c r="T114" s="22" t="n">
        <f aca="false">(G114-F114)/H114/E114</f>
        <v>0.17088572226879</v>
      </c>
      <c r="V114" s="0"/>
      <c r="W114" s="0"/>
      <c r="X114" s="0"/>
      <c r="Y114" s="0"/>
      <c r="Z114" s="40" t="s">
        <v>182</v>
      </c>
      <c r="AA114" s="19" t="s">
        <v>183</v>
      </c>
      <c r="AB114" s="41" t="n">
        <v>2013</v>
      </c>
      <c r="AC114" s="84" t="s">
        <v>184</v>
      </c>
      <c r="AE114" s="19" t="n">
        <v>270.5</v>
      </c>
      <c r="AK114" s="66" t="n">
        <f aca="false">1070/J114*1000000000000</f>
        <v>4280000000000000</v>
      </c>
      <c r="AL114" s="85" t="s">
        <v>185</v>
      </c>
      <c r="AM114" s="19" t="s">
        <v>116</v>
      </c>
      <c r="AO114" s="40"/>
      <c r="AQ114" s="26" t="n">
        <v>8.4</v>
      </c>
      <c r="AR114" s="26" t="n">
        <v>8.4</v>
      </c>
      <c r="AS114" s="26" t="n">
        <v>8.4</v>
      </c>
      <c r="AU114" s="19" t="n">
        <v>0</v>
      </c>
      <c r="AW114" s="19" t="s">
        <v>117</v>
      </c>
      <c r="AX114" s="69" t="n">
        <v>0</v>
      </c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/>
      <c r="YV114" s="0"/>
      <c r="YW114" s="0"/>
      <c r="YX114" s="0"/>
      <c r="YY114" s="0"/>
      <c r="YZ114" s="0"/>
      <c r="ZA114" s="0"/>
      <c r="ZB114" s="0"/>
      <c r="ZC114" s="0"/>
      <c r="ZD114" s="0"/>
      <c r="ZE114" s="0"/>
      <c r="ZF114" s="0"/>
      <c r="ZG114" s="0"/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/>
      <c r="AAM114" s="0"/>
      <c r="AAN114" s="0"/>
      <c r="AAO114" s="0"/>
      <c r="AAP114" s="0"/>
      <c r="AAQ114" s="0"/>
      <c r="AAR114" s="0"/>
      <c r="AAS114" s="0"/>
      <c r="AAT114" s="0"/>
      <c r="AAU114" s="0"/>
      <c r="AAV114" s="0"/>
      <c r="AAW114" s="0"/>
      <c r="AAX114" s="0"/>
      <c r="AAY114" s="0"/>
      <c r="AAZ114" s="0"/>
      <c r="ABA114" s="0"/>
      <c r="ABB114" s="0"/>
      <c r="ABC114" s="0"/>
      <c r="ABD114" s="0"/>
      <c r="ABE114" s="0"/>
      <c r="ABF114" s="0"/>
      <c r="ABG114" s="0"/>
      <c r="ABH114" s="0"/>
      <c r="ABI114" s="0"/>
      <c r="ABJ114" s="0"/>
      <c r="ABK114" s="0"/>
      <c r="ABL114" s="0"/>
      <c r="ABM114" s="0"/>
      <c r="ABN114" s="0"/>
      <c r="ABO114" s="0"/>
      <c r="ABP114" s="0"/>
      <c r="ABQ114" s="0"/>
      <c r="ABR114" s="0"/>
      <c r="ABS114" s="0"/>
      <c r="ABT114" s="0"/>
      <c r="ABU114" s="0"/>
      <c r="ABV114" s="0"/>
      <c r="ABW114" s="0"/>
      <c r="ABX114" s="0"/>
      <c r="ABY114" s="0"/>
      <c r="ABZ114" s="0"/>
      <c r="ACA114" s="0"/>
      <c r="ACB114" s="0"/>
      <c r="ACC114" s="0"/>
      <c r="ACD114" s="0"/>
      <c r="ACE114" s="0"/>
      <c r="ACF114" s="0"/>
      <c r="ACG114" s="0"/>
      <c r="ACH114" s="0"/>
      <c r="ACI114" s="0"/>
      <c r="ACJ114" s="0"/>
      <c r="ACK114" s="0"/>
      <c r="ACL114" s="0"/>
      <c r="ACM114" s="0"/>
      <c r="ACN114" s="0"/>
      <c r="ACO114" s="0"/>
      <c r="ACP114" s="0"/>
      <c r="ACQ114" s="0"/>
      <c r="ACR114" s="0"/>
      <c r="ACS114" s="0"/>
      <c r="ACT114" s="0"/>
      <c r="ACU114" s="0"/>
      <c r="ACV114" s="0"/>
      <c r="ACW114" s="0"/>
      <c r="ACX114" s="0"/>
      <c r="ACY114" s="0"/>
      <c r="ACZ114" s="0"/>
      <c r="ADA114" s="0"/>
      <c r="ADB114" s="0"/>
      <c r="ADC114" s="0"/>
      <c r="ADD114" s="0"/>
      <c r="ADE114" s="0"/>
      <c r="ADF114" s="0"/>
      <c r="ADG114" s="0"/>
      <c r="ADH114" s="0"/>
      <c r="ADI114" s="0"/>
      <c r="ADJ114" s="0"/>
      <c r="ADK114" s="0"/>
      <c r="ADL114" s="0"/>
      <c r="ADM114" s="0"/>
      <c r="ADN114" s="0"/>
      <c r="ADO114" s="0"/>
      <c r="ADP114" s="0"/>
      <c r="ADQ114" s="0"/>
      <c r="ADR114" s="0"/>
      <c r="ADS114" s="0"/>
      <c r="ADT114" s="0"/>
      <c r="ADU114" s="0"/>
      <c r="ADV114" s="0"/>
      <c r="ADW114" s="0"/>
      <c r="ADX114" s="0"/>
      <c r="ADY114" s="0"/>
      <c r="ADZ114" s="0"/>
      <c r="AEA114" s="0"/>
      <c r="AEB114" s="0"/>
      <c r="AEC114" s="0"/>
      <c r="AED114" s="0"/>
      <c r="AEE114" s="0"/>
      <c r="AEF114" s="0"/>
      <c r="AEG114" s="0"/>
      <c r="AEH114" s="0"/>
      <c r="AEI114" s="0"/>
      <c r="AEJ114" s="0"/>
      <c r="AEK114" s="0"/>
      <c r="AEL114" s="0"/>
      <c r="AEM114" s="0"/>
      <c r="AEN114" s="0"/>
      <c r="AEO114" s="0"/>
      <c r="AEP114" s="0"/>
      <c r="AEQ114" s="0"/>
      <c r="AER114" s="0"/>
      <c r="AES114" s="0"/>
      <c r="AET114" s="0"/>
      <c r="AEU114" s="0"/>
      <c r="AEV114" s="0"/>
      <c r="AEW114" s="0"/>
      <c r="AEX114" s="0"/>
      <c r="AEY114" s="0"/>
      <c r="AEZ114" s="0"/>
      <c r="AFA114" s="0"/>
      <c r="AFB114" s="0"/>
      <c r="AFC114" s="0"/>
      <c r="AFD114" s="0"/>
      <c r="AFE114" s="0"/>
      <c r="AFF114" s="0"/>
      <c r="AFG114" s="0"/>
      <c r="AFH114" s="0"/>
      <c r="AFI114" s="0"/>
      <c r="AFJ114" s="0"/>
      <c r="AFK114" s="0"/>
      <c r="AFL114" s="0"/>
      <c r="AFM114" s="0"/>
      <c r="AFN114" s="0"/>
      <c r="AFO114" s="0"/>
      <c r="AFP114" s="0"/>
      <c r="AFQ114" s="0"/>
      <c r="AFR114" s="0"/>
      <c r="AFS114" s="0"/>
      <c r="AFT114" s="0"/>
      <c r="AFU114" s="0"/>
      <c r="AFV114" s="0"/>
      <c r="AFW114" s="0"/>
      <c r="AFX114" s="0"/>
      <c r="AFY114" s="0"/>
      <c r="AFZ114" s="0"/>
      <c r="AGA114" s="0"/>
      <c r="AGB114" s="0"/>
      <c r="AGC114" s="0"/>
      <c r="AGD114" s="0"/>
      <c r="AGE114" s="0"/>
      <c r="AGF114" s="0"/>
      <c r="AGG114" s="0"/>
      <c r="AGH114" s="0"/>
      <c r="AGI114" s="0"/>
      <c r="AGJ114" s="0"/>
      <c r="AGK114" s="0"/>
      <c r="AGL114" s="0"/>
      <c r="AGM114" s="0"/>
      <c r="AGN114" s="0"/>
      <c r="AGO114" s="0"/>
      <c r="AGP114" s="0"/>
      <c r="AGQ114" s="0"/>
      <c r="AGR114" s="0"/>
      <c r="AGS114" s="0"/>
      <c r="AGT114" s="0"/>
      <c r="AGU114" s="0"/>
      <c r="AGV114" s="0"/>
      <c r="AGW114" s="0"/>
      <c r="AGX114" s="0"/>
      <c r="AGY114" s="0"/>
      <c r="AGZ114" s="0"/>
      <c r="AHA114" s="0"/>
      <c r="AHB114" s="0"/>
      <c r="AHC114" s="0"/>
      <c r="AHD114" s="0"/>
      <c r="AHE114" s="0"/>
      <c r="AHF114" s="0"/>
      <c r="AHG114" s="0"/>
      <c r="AHH114" s="0"/>
      <c r="AHI114" s="0"/>
      <c r="AHJ114" s="0"/>
      <c r="AHK114" s="0"/>
      <c r="AHL114" s="0"/>
      <c r="AHM114" s="0"/>
      <c r="AHN114" s="0"/>
      <c r="AHO114" s="0"/>
      <c r="AHP114" s="0"/>
      <c r="AHQ114" s="0"/>
      <c r="AHR114" s="0"/>
      <c r="AHS114" s="0"/>
      <c r="AHT114" s="0"/>
      <c r="AHU114" s="0"/>
      <c r="AHV114" s="0"/>
      <c r="AHW114" s="0"/>
      <c r="AHX114" s="0"/>
      <c r="AHY114" s="0"/>
      <c r="AHZ114" s="0"/>
      <c r="AIA114" s="0"/>
      <c r="AIB114" s="0"/>
      <c r="AIC114" s="0"/>
      <c r="AID114" s="0"/>
      <c r="AIE114" s="0"/>
      <c r="AIF114" s="0"/>
      <c r="AIG114" s="0"/>
      <c r="AIH114" s="0"/>
      <c r="AII114" s="0"/>
      <c r="AIJ114" s="0"/>
      <c r="AIK114" s="0"/>
      <c r="AIL114" s="0"/>
      <c r="AIM114" s="0"/>
      <c r="AIN114" s="0"/>
      <c r="AIO114" s="0"/>
      <c r="AIP114" s="0"/>
      <c r="AIQ114" s="0"/>
      <c r="AIR114" s="0"/>
      <c r="AIS114" s="0"/>
      <c r="AIT114" s="0"/>
      <c r="AIU114" s="0"/>
      <c r="AIV114" s="0"/>
      <c r="AIW114" s="0"/>
      <c r="AIX114" s="0"/>
      <c r="AIY114" s="0"/>
      <c r="AIZ114" s="0"/>
      <c r="AJA114" s="0"/>
      <c r="AJB114" s="0"/>
      <c r="AJC114" s="0"/>
      <c r="AJD114" s="0"/>
      <c r="AJE114" s="0"/>
      <c r="AJF114" s="0"/>
      <c r="AJG114" s="0"/>
      <c r="AJH114" s="0"/>
      <c r="AJI114" s="0"/>
      <c r="AJJ114" s="0"/>
      <c r="AJK114" s="0"/>
      <c r="AJL114" s="0"/>
      <c r="AJM114" s="0"/>
      <c r="AJN114" s="0"/>
      <c r="AJO114" s="0"/>
      <c r="AJP114" s="0"/>
      <c r="AJQ114" s="0"/>
      <c r="AJR114" s="0"/>
      <c r="AJS114" s="0"/>
      <c r="AJT114" s="0"/>
      <c r="AJU114" s="0"/>
      <c r="AJV114" s="0"/>
      <c r="AJW114" s="0"/>
      <c r="AJX114" s="0"/>
      <c r="AJY114" s="0"/>
      <c r="AJZ114" s="0"/>
      <c r="AKA114" s="0"/>
      <c r="AKB114" s="0"/>
      <c r="AKC114" s="0"/>
      <c r="AKD114" s="0"/>
      <c r="AKE114" s="0"/>
      <c r="AKF114" s="0"/>
      <c r="AKG114" s="0"/>
      <c r="AKH114" s="0"/>
      <c r="AKI114" s="0"/>
      <c r="AKJ114" s="0"/>
      <c r="AKK114" s="0"/>
      <c r="AKL114" s="0"/>
      <c r="AKM114" s="0"/>
      <c r="AKN114" s="0"/>
      <c r="AKO114" s="0"/>
      <c r="AKP114" s="0"/>
      <c r="AKQ114" s="0"/>
      <c r="AKR114" s="0"/>
      <c r="AKS114" s="0"/>
      <c r="AKT114" s="0"/>
      <c r="AKU114" s="0"/>
      <c r="AKV114" s="0"/>
      <c r="AKW114" s="0"/>
      <c r="AKX114" s="0"/>
      <c r="AKY114" s="0"/>
      <c r="AKZ114" s="0"/>
      <c r="ALA114" s="0"/>
      <c r="ALB114" s="0"/>
      <c r="ALC114" s="0"/>
      <c r="ALD114" s="0"/>
      <c r="ALE114" s="0"/>
      <c r="ALF114" s="0"/>
      <c r="ALG114" s="0"/>
      <c r="ALH114" s="0"/>
      <c r="ALI114" s="0"/>
      <c r="ALJ114" s="0"/>
      <c r="ALK114" s="0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  <c r="AMJ114" s="0"/>
    </row>
    <row r="115" customFormat="false" ht="14.4" hidden="false" customHeight="false" outlineLevel="0" collapsed="false">
      <c r="A115" s="80" t="n">
        <f aca="false">(B115/83)*100</f>
        <v>1.40963855421687</v>
      </c>
      <c r="B115" s="79" t="n">
        <v>1.17</v>
      </c>
      <c r="C115" s="79"/>
      <c r="D115" s="14" t="n">
        <f aca="false">E115/I115</f>
        <v>0.805825242718447</v>
      </c>
      <c r="E115" s="15" t="n">
        <f aca="false">(G115+F115)/2/H115</f>
        <v>415</v>
      </c>
      <c r="F115" s="38" t="n">
        <v>390</v>
      </c>
      <c r="G115" s="17" t="n">
        <v>440</v>
      </c>
      <c r="H115" s="39" t="n">
        <v>1</v>
      </c>
      <c r="I115" s="19" t="n">
        <v>515</v>
      </c>
      <c r="J115" s="64" t="n">
        <v>0.25</v>
      </c>
      <c r="K115" s="0"/>
      <c r="M115" s="0"/>
      <c r="N115" s="19" t="n">
        <v>20</v>
      </c>
      <c r="O115" s="0"/>
      <c r="P115" s="0"/>
      <c r="Q115" s="19" t="n">
        <f aca="false">M115*N115</f>
        <v>0</v>
      </c>
      <c r="R115" s="21" t="n">
        <f aca="false">A115*N115</f>
        <v>28.1927710843373</v>
      </c>
      <c r="S115" s="0"/>
      <c r="T115" s="22" t="n">
        <f aca="false">(G115-F115)/H115/E115</f>
        <v>0.120481927710843</v>
      </c>
      <c r="U115" s="0"/>
      <c r="V115" s="0"/>
      <c r="W115" s="0"/>
      <c r="X115" s="0"/>
      <c r="Y115" s="0"/>
      <c r="Z115" s="40" t="s">
        <v>182</v>
      </c>
      <c r="AA115" s="19" t="s">
        <v>183</v>
      </c>
      <c r="AB115" s="41" t="n">
        <v>2013</v>
      </c>
      <c r="AC115" s="84" t="s">
        <v>184</v>
      </c>
      <c r="AD115" s="0"/>
      <c r="AE115" s="19" t="n">
        <v>270.5</v>
      </c>
      <c r="AF115" s="0"/>
      <c r="AG115" s="0"/>
      <c r="AH115" s="0"/>
      <c r="AI115" s="0"/>
      <c r="AJ115" s="0"/>
      <c r="AK115" s="66" t="n">
        <f aca="false">1070/J115*1000000000000</f>
        <v>4280000000000000</v>
      </c>
      <c r="AL115" s="85" t="s">
        <v>185</v>
      </c>
      <c r="AM115" s="19" t="s">
        <v>116</v>
      </c>
      <c r="AN115" s="0"/>
      <c r="AO115" s="0"/>
      <c r="AP115" s="0"/>
      <c r="AQ115" s="26" t="n">
        <v>8.4</v>
      </c>
      <c r="AR115" s="26" t="n">
        <v>8.4</v>
      </c>
      <c r="AS115" s="26" t="n">
        <v>8.4</v>
      </c>
      <c r="AT115" s="0"/>
      <c r="AU115" s="19" t="n">
        <v>0</v>
      </c>
      <c r="AV115" s="0"/>
      <c r="AW115" s="19" t="s">
        <v>117</v>
      </c>
      <c r="AX115" s="69" t="n">
        <v>0</v>
      </c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  <c r="OJ115" s="0"/>
      <c r="OK115" s="0"/>
      <c r="OL115" s="0"/>
      <c r="OM115" s="0"/>
      <c r="ON115" s="0"/>
      <c r="OO115" s="0"/>
      <c r="OP115" s="0"/>
      <c r="OQ115" s="0"/>
      <c r="OR115" s="0"/>
      <c r="OS115" s="0"/>
      <c r="OT115" s="0"/>
      <c r="OU115" s="0"/>
      <c r="OV115" s="0"/>
      <c r="OW115" s="0"/>
      <c r="OX115" s="0"/>
      <c r="OY115" s="0"/>
      <c r="OZ115" s="0"/>
      <c r="PA115" s="0"/>
      <c r="PB115" s="0"/>
      <c r="PC115" s="0"/>
      <c r="PD115" s="0"/>
      <c r="PE115" s="0"/>
      <c r="PF115" s="0"/>
      <c r="PG115" s="0"/>
      <c r="PH115" s="0"/>
      <c r="PI115" s="0"/>
      <c r="PJ115" s="0"/>
      <c r="PK115" s="0"/>
      <c r="PL115" s="0"/>
      <c r="PM115" s="0"/>
      <c r="PN115" s="0"/>
      <c r="PO115" s="0"/>
      <c r="PP115" s="0"/>
      <c r="PQ115" s="0"/>
      <c r="PR115" s="0"/>
      <c r="PS115" s="0"/>
      <c r="PT115" s="0"/>
      <c r="PU115" s="0"/>
      <c r="PV115" s="0"/>
      <c r="PW115" s="0"/>
      <c r="PX115" s="0"/>
      <c r="PY115" s="0"/>
      <c r="PZ115" s="0"/>
      <c r="QA115" s="0"/>
      <c r="QB115" s="0"/>
      <c r="QC115" s="0"/>
      <c r="QD115" s="0"/>
      <c r="QE115" s="0"/>
      <c r="QF115" s="0"/>
      <c r="QG115" s="0"/>
      <c r="QH115" s="0"/>
      <c r="QI115" s="0"/>
      <c r="QJ115" s="0"/>
      <c r="QK115" s="0"/>
      <c r="QL115" s="0"/>
      <c r="QM115" s="0"/>
      <c r="QN115" s="0"/>
      <c r="QO115" s="0"/>
      <c r="QP115" s="0"/>
      <c r="QQ115" s="0"/>
      <c r="QR115" s="0"/>
      <c r="QS115" s="0"/>
      <c r="QT115" s="0"/>
      <c r="QU115" s="0"/>
      <c r="QV115" s="0"/>
      <c r="QW115" s="0"/>
      <c r="QX115" s="0"/>
      <c r="QY115" s="0"/>
      <c r="QZ115" s="0"/>
      <c r="RA115" s="0"/>
      <c r="RB115" s="0"/>
      <c r="RC115" s="0"/>
      <c r="RD115" s="0"/>
      <c r="RE115" s="0"/>
      <c r="RF115" s="0"/>
      <c r="RG115" s="0"/>
      <c r="RH115" s="0"/>
      <c r="RI115" s="0"/>
      <c r="RJ115" s="0"/>
      <c r="RK115" s="0"/>
      <c r="RL115" s="0"/>
      <c r="RM115" s="0"/>
      <c r="RN115" s="0"/>
      <c r="RO115" s="0"/>
      <c r="RP115" s="0"/>
      <c r="RQ115" s="0"/>
      <c r="RR115" s="0"/>
      <c r="RS115" s="0"/>
      <c r="RT115" s="0"/>
      <c r="RU115" s="0"/>
      <c r="RV115" s="0"/>
      <c r="RW115" s="0"/>
      <c r="RX115" s="0"/>
      <c r="RY115" s="0"/>
      <c r="RZ115" s="0"/>
      <c r="SA115" s="0"/>
      <c r="SB115" s="0"/>
      <c r="SC115" s="0"/>
      <c r="SD115" s="0"/>
      <c r="SE115" s="0"/>
      <c r="SF115" s="0"/>
      <c r="SG115" s="0"/>
      <c r="SH115" s="0"/>
      <c r="SI115" s="0"/>
      <c r="SJ115" s="0"/>
      <c r="SK115" s="0"/>
      <c r="SL115" s="0"/>
      <c r="SM115" s="0"/>
      <c r="SN115" s="0"/>
      <c r="SO115" s="0"/>
      <c r="SP115" s="0"/>
      <c r="SQ115" s="0"/>
      <c r="SR115" s="0"/>
      <c r="SS115" s="0"/>
      <c r="ST115" s="0"/>
      <c r="SU115" s="0"/>
      <c r="SV115" s="0"/>
      <c r="SW115" s="0"/>
      <c r="SX115" s="0"/>
      <c r="SY115" s="0"/>
      <c r="SZ115" s="0"/>
      <c r="TA115" s="0"/>
      <c r="TB115" s="0"/>
      <c r="TC115" s="0"/>
      <c r="TD115" s="0"/>
      <c r="TE115" s="0"/>
      <c r="TF115" s="0"/>
      <c r="TG115" s="0"/>
      <c r="TH115" s="0"/>
      <c r="TI115" s="0"/>
      <c r="TJ115" s="0"/>
      <c r="TK115" s="0"/>
      <c r="TL115" s="0"/>
      <c r="TM115" s="0"/>
      <c r="TN115" s="0"/>
      <c r="TO115" s="0"/>
      <c r="TP115" s="0"/>
      <c r="TQ115" s="0"/>
      <c r="TR115" s="0"/>
      <c r="TS115" s="0"/>
      <c r="TT115" s="0"/>
      <c r="TU115" s="0"/>
      <c r="TV115" s="0"/>
      <c r="TW115" s="0"/>
      <c r="TX115" s="0"/>
      <c r="TY115" s="0"/>
      <c r="TZ115" s="0"/>
      <c r="UA115" s="0"/>
      <c r="UB115" s="0"/>
      <c r="UC115" s="0"/>
      <c r="UD115" s="0"/>
      <c r="UE115" s="0"/>
      <c r="UF115" s="0"/>
      <c r="UG115" s="0"/>
      <c r="UH115" s="0"/>
      <c r="UI115" s="0"/>
      <c r="UJ115" s="0"/>
      <c r="UK115" s="0"/>
      <c r="UL115" s="0"/>
      <c r="UM115" s="0"/>
      <c r="UN115" s="0"/>
      <c r="UO115" s="0"/>
      <c r="UP115" s="0"/>
      <c r="UQ115" s="0"/>
      <c r="UR115" s="0"/>
      <c r="US115" s="0"/>
      <c r="UT115" s="0"/>
      <c r="UU115" s="0"/>
      <c r="UV115" s="0"/>
      <c r="UW115" s="0"/>
      <c r="UX115" s="0"/>
      <c r="UY115" s="0"/>
      <c r="UZ115" s="0"/>
      <c r="VA115" s="0"/>
      <c r="VB115" s="0"/>
      <c r="VC115" s="0"/>
      <c r="VD115" s="0"/>
      <c r="VE115" s="0"/>
      <c r="VF115" s="0"/>
      <c r="VG115" s="0"/>
      <c r="VH115" s="0"/>
      <c r="VI115" s="0"/>
      <c r="VJ115" s="0"/>
      <c r="VK115" s="0"/>
      <c r="VL115" s="0"/>
      <c r="VM115" s="0"/>
      <c r="VN115" s="0"/>
      <c r="VO115" s="0"/>
      <c r="VP115" s="0"/>
      <c r="VQ115" s="0"/>
      <c r="VR115" s="0"/>
      <c r="VS115" s="0"/>
      <c r="VT115" s="0"/>
      <c r="VU115" s="0"/>
      <c r="VV115" s="0"/>
      <c r="VW115" s="0"/>
      <c r="VX115" s="0"/>
      <c r="VY115" s="0"/>
      <c r="VZ115" s="0"/>
      <c r="WA115" s="0"/>
      <c r="WB115" s="0"/>
      <c r="WC115" s="0"/>
      <c r="WD115" s="0"/>
      <c r="WE115" s="0"/>
      <c r="WF115" s="0"/>
      <c r="WG115" s="0"/>
      <c r="WH115" s="0"/>
      <c r="WI115" s="0"/>
      <c r="WJ115" s="0"/>
      <c r="WK115" s="0"/>
      <c r="WL115" s="0"/>
      <c r="WM115" s="0"/>
      <c r="WN115" s="0"/>
      <c r="WO115" s="0"/>
      <c r="WP115" s="0"/>
      <c r="WQ115" s="0"/>
      <c r="WR115" s="0"/>
      <c r="WS115" s="0"/>
      <c r="WT115" s="0"/>
      <c r="WU115" s="0"/>
      <c r="WV115" s="0"/>
      <c r="WW115" s="0"/>
      <c r="WX115" s="0"/>
      <c r="WY115" s="0"/>
      <c r="WZ115" s="0"/>
      <c r="XA115" s="0"/>
      <c r="XB115" s="0"/>
      <c r="XC115" s="0"/>
      <c r="XD115" s="0"/>
      <c r="XE115" s="0"/>
      <c r="XF115" s="0"/>
      <c r="XG115" s="0"/>
      <c r="XH115" s="0"/>
      <c r="XI115" s="0"/>
      <c r="XJ115" s="0"/>
      <c r="XK115" s="0"/>
      <c r="XL115" s="0"/>
      <c r="XM115" s="0"/>
      <c r="XN115" s="0"/>
      <c r="XO115" s="0"/>
      <c r="XP115" s="0"/>
      <c r="XQ115" s="0"/>
      <c r="XR115" s="0"/>
      <c r="XS115" s="0"/>
      <c r="XT115" s="0"/>
      <c r="XU115" s="0"/>
      <c r="XV115" s="0"/>
      <c r="XW115" s="0"/>
      <c r="XX115" s="0"/>
      <c r="XY115" s="0"/>
      <c r="XZ115" s="0"/>
      <c r="YA115" s="0"/>
      <c r="YB115" s="0"/>
      <c r="YC115" s="0"/>
      <c r="YD115" s="0"/>
      <c r="YE115" s="0"/>
      <c r="YF115" s="0"/>
      <c r="YG115" s="0"/>
      <c r="YH115" s="0"/>
      <c r="YI115" s="0"/>
      <c r="YJ115" s="0"/>
      <c r="YK115" s="0"/>
      <c r="YL115" s="0"/>
      <c r="YM115" s="0"/>
      <c r="YN115" s="0"/>
      <c r="YO115" s="0"/>
      <c r="YP115" s="0"/>
      <c r="YQ115" s="0"/>
      <c r="YR115" s="0"/>
      <c r="YS115" s="0"/>
      <c r="YT115" s="0"/>
      <c r="YU115" s="0"/>
      <c r="YV115" s="0"/>
      <c r="YW115" s="0"/>
      <c r="YX115" s="0"/>
      <c r="YY115" s="0"/>
      <c r="YZ115" s="0"/>
      <c r="ZA115" s="0"/>
      <c r="ZB115" s="0"/>
      <c r="ZC115" s="0"/>
      <c r="ZD115" s="0"/>
      <c r="ZE115" s="0"/>
      <c r="ZF115" s="0"/>
      <c r="ZG115" s="0"/>
      <c r="ZH115" s="0"/>
      <c r="ZI115" s="0"/>
      <c r="ZJ115" s="0"/>
      <c r="ZK115" s="0"/>
      <c r="ZL115" s="0"/>
      <c r="ZM115" s="0"/>
      <c r="ZN115" s="0"/>
      <c r="ZO115" s="0"/>
      <c r="ZP115" s="0"/>
      <c r="ZQ115" s="0"/>
      <c r="ZR115" s="0"/>
      <c r="ZS115" s="0"/>
      <c r="ZT115" s="0"/>
      <c r="ZU115" s="0"/>
      <c r="ZV115" s="0"/>
      <c r="ZW115" s="0"/>
      <c r="ZX115" s="0"/>
      <c r="ZY115" s="0"/>
      <c r="ZZ115" s="0"/>
      <c r="AAA115" s="0"/>
      <c r="AAB115" s="0"/>
      <c r="AAC115" s="0"/>
      <c r="AAD115" s="0"/>
      <c r="AAE115" s="0"/>
      <c r="AAF115" s="0"/>
      <c r="AAG115" s="0"/>
      <c r="AAH115" s="0"/>
      <c r="AAI115" s="0"/>
      <c r="AAJ115" s="0"/>
      <c r="AAK115" s="0"/>
      <c r="AAL115" s="0"/>
      <c r="AAM115" s="0"/>
      <c r="AAN115" s="0"/>
      <c r="AAO115" s="0"/>
      <c r="AAP115" s="0"/>
      <c r="AAQ115" s="0"/>
      <c r="AAR115" s="0"/>
      <c r="AAS115" s="0"/>
      <c r="AAT115" s="0"/>
      <c r="AAU115" s="0"/>
      <c r="AAV115" s="0"/>
      <c r="AAW115" s="0"/>
      <c r="AAX115" s="0"/>
      <c r="AAY115" s="0"/>
      <c r="AAZ115" s="0"/>
      <c r="ABA115" s="0"/>
      <c r="ABB115" s="0"/>
      <c r="ABC115" s="0"/>
      <c r="ABD115" s="0"/>
      <c r="ABE115" s="0"/>
      <c r="ABF115" s="0"/>
      <c r="ABG115" s="0"/>
      <c r="ABH115" s="0"/>
      <c r="ABI115" s="0"/>
      <c r="ABJ115" s="0"/>
      <c r="ABK115" s="0"/>
      <c r="ABL115" s="0"/>
      <c r="ABM115" s="0"/>
      <c r="ABN115" s="0"/>
      <c r="ABO115" s="0"/>
      <c r="ABP115" s="0"/>
      <c r="ABQ115" s="0"/>
      <c r="ABR115" s="0"/>
      <c r="ABS115" s="0"/>
      <c r="ABT115" s="0"/>
      <c r="ABU115" s="0"/>
      <c r="ABV115" s="0"/>
      <c r="ABW115" s="0"/>
      <c r="ABX115" s="0"/>
      <c r="ABY115" s="0"/>
      <c r="ABZ115" s="0"/>
      <c r="ACA115" s="0"/>
      <c r="ACB115" s="0"/>
      <c r="ACC115" s="0"/>
      <c r="ACD115" s="0"/>
      <c r="ACE115" s="0"/>
      <c r="ACF115" s="0"/>
      <c r="ACG115" s="0"/>
      <c r="ACH115" s="0"/>
      <c r="ACI115" s="0"/>
      <c r="ACJ115" s="0"/>
      <c r="ACK115" s="0"/>
      <c r="ACL115" s="0"/>
      <c r="ACM115" s="0"/>
      <c r="ACN115" s="0"/>
      <c r="ACO115" s="0"/>
      <c r="ACP115" s="0"/>
      <c r="ACQ115" s="0"/>
      <c r="ACR115" s="0"/>
      <c r="ACS115" s="0"/>
      <c r="ACT115" s="0"/>
      <c r="ACU115" s="0"/>
      <c r="ACV115" s="0"/>
      <c r="ACW115" s="0"/>
      <c r="ACX115" s="0"/>
      <c r="ACY115" s="0"/>
      <c r="ACZ115" s="0"/>
      <c r="ADA115" s="0"/>
      <c r="ADB115" s="0"/>
      <c r="ADC115" s="0"/>
      <c r="ADD115" s="0"/>
      <c r="ADE115" s="0"/>
      <c r="ADF115" s="0"/>
      <c r="ADG115" s="0"/>
      <c r="ADH115" s="0"/>
      <c r="ADI115" s="0"/>
      <c r="ADJ115" s="0"/>
      <c r="ADK115" s="0"/>
      <c r="ADL115" s="0"/>
      <c r="ADM115" s="0"/>
      <c r="ADN115" s="0"/>
      <c r="ADO115" s="0"/>
      <c r="ADP115" s="0"/>
      <c r="ADQ115" s="0"/>
      <c r="ADR115" s="0"/>
      <c r="ADS115" s="0"/>
      <c r="ADT115" s="0"/>
      <c r="ADU115" s="0"/>
      <c r="ADV115" s="0"/>
      <c r="ADW115" s="0"/>
      <c r="ADX115" s="0"/>
      <c r="ADY115" s="0"/>
      <c r="ADZ115" s="0"/>
      <c r="AEA115" s="0"/>
      <c r="AEB115" s="0"/>
      <c r="AEC115" s="0"/>
      <c r="AED115" s="0"/>
      <c r="AEE115" s="0"/>
      <c r="AEF115" s="0"/>
      <c r="AEG115" s="0"/>
      <c r="AEH115" s="0"/>
      <c r="AEI115" s="0"/>
      <c r="AEJ115" s="0"/>
      <c r="AEK115" s="0"/>
      <c r="AEL115" s="0"/>
      <c r="AEM115" s="0"/>
      <c r="AEN115" s="0"/>
      <c r="AEO115" s="0"/>
      <c r="AEP115" s="0"/>
      <c r="AEQ115" s="0"/>
      <c r="AER115" s="0"/>
      <c r="AES115" s="0"/>
      <c r="AET115" s="0"/>
      <c r="AEU115" s="0"/>
      <c r="AEV115" s="0"/>
      <c r="AEW115" s="0"/>
      <c r="AEX115" s="0"/>
      <c r="AEY115" s="0"/>
      <c r="AEZ115" s="0"/>
      <c r="AFA115" s="0"/>
      <c r="AFB115" s="0"/>
      <c r="AFC115" s="0"/>
      <c r="AFD115" s="0"/>
      <c r="AFE115" s="0"/>
      <c r="AFF115" s="0"/>
      <c r="AFG115" s="0"/>
      <c r="AFH115" s="0"/>
      <c r="AFI115" s="0"/>
      <c r="AFJ115" s="0"/>
      <c r="AFK115" s="0"/>
      <c r="AFL115" s="0"/>
      <c r="AFM115" s="0"/>
      <c r="AFN115" s="0"/>
      <c r="AFO115" s="0"/>
      <c r="AFP115" s="0"/>
      <c r="AFQ115" s="0"/>
      <c r="AFR115" s="0"/>
      <c r="AFS115" s="0"/>
      <c r="AFT115" s="0"/>
      <c r="AFU115" s="0"/>
      <c r="AFV115" s="0"/>
      <c r="AFW115" s="0"/>
      <c r="AFX115" s="0"/>
      <c r="AFY115" s="0"/>
      <c r="AFZ115" s="0"/>
      <c r="AGA115" s="0"/>
      <c r="AGB115" s="0"/>
      <c r="AGC115" s="0"/>
      <c r="AGD115" s="0"/>
      <c r="AGE115" s="0"/>
      <c r="AGF115" s="0"/>
      <c r="AGG115" s="0"/>
      <c r="AGH115" s="0"/>
      <c r="AGI115" s="0"/>
      <c r="AGJ115" s="0"/>
      <c r="AGK115" s="0"/>
      <c r="AGL115" s="0"/>
      <c r="AGM115" s="0"/>
      <c r="AGN115" s="0"/>
      <c r="AGO115" s="0"/>
      <c r="AGP115" s="0"/>
      <c r="AGQ115" s="0"/>
      <c r="AGR115" s="0"/>
      <c r="AGS115" s="0"/>
      <c r="AGT115" s="0"/>
      <c r="AGU115" s="0"/>
      <c r="AGV115" s="0"/>
      <c r="AGW115" s="0"/>
      <c r="AGX115" s="0"/>
      <c r="AGY115" s="0"/>
      <c r="AGZ115" s="0"/>
      <c r="AHA115" s="0"/>
      <c r="AHB115" s="0"/>
      <c r="AHC115" s="0"/>
      <c r="AHD115" s="0"/>
      <c r="AHE115" s="0"/>
      <c r="AHF115" s="0"/>
      <c r="AHG115" s="0"/>
      <c r="AHH115" s="0"/>
      <c r="AHI115" s="0"/>
      <c r="AHJ115" s="0"/>
      <c r="AHK115" s="0"/>
      <c r="AHL115" s="0"/>
      <c r="AHM115" s="0"/>
      <c r="AHN115" s="0"/>
      <c r="AHO115" s="0"/>
      <c r="AHP115" s="0"/>
      <c r="AHQ115" s="0"/>
      <c r="AHR115" s="0"/>
      <c r="AHS115" s="0"/>
      <c r="AHT115" s="0"/>
      <c r="AHU115" s="0"/>
      <c r="AHV115" s="0"/>
      <c r="AHW115" s="0"/>
      <c r="AHX115" s="0"/>
      <c r="AHY115" s="0"/>
      <c r="AHZ115" s="0"/>
      <c r="AIA115" s="0"/>
      <c r="AIB115" s="0"/>
      <c r="AIC115" s="0"/>
      <c r="AID115" s="0"/>
      <c r="AIE115" s="0"/>
      <c r="AIF115" s="0"/>
      <c r="AIG115" s="0"/>
      <c r="AIH115" s="0"/>
      <c r="AII115" s="0"/>
      <c r="AIJ115" s="0"/>
      <c r="AIK115" s="0"/>
      <c r="AIL115" s="0"/>
      <c r="AIM115" s="0"/>
      <c r="AIN115" s="0"/>
      <c r="AIO115" s="0"/>
      <c r="AIP115" s="0"/>
      <c r="AIQ115" s="0"/>
      <c r="AIR115" s="0"/>
      <c r="AIS115" s="0"/>
      <c r="AIT115" s="0"/>
      <c r="AIU115" s="0"/>
      <c r="AIV115" s="0"/>
      <c r="AIW115" s="0"/>
      <c r="AIX115" s="0"/>
      <c r="AIY115" s="0"/>
      <c r="AIZ115" s="0"/>
      <c r="AJA115" s="0"/>
      <c r="AJB115" s="0"/>
      <c r="AJC115" s="0"/>
      <c r="AJD115" s="0"/>
      <c r="AJE115" s="0"/>
      <c r="AJF115" s="0"/>
      <c r="AJG115" s="0"/>
      <c r="AJH115" s="0"/>
      <c r="AJI115" s="0"/>
      <c r="AJJ115" s="0"/>
      <c r="AJK115" s="0"/>
      <c r="AJL115" s="0"/>
      <c r="AJM115" s="0"/>
      <c r="AJN115" s="0"/>
      <c r="AJO115" s="0"/>
      <c r="AJP115" s="0"/>
      <c r="AJQ115" s="0"/>
      <c r="AJR115" s="0"/>
      <c r="AJS115" s="0"/>
      <c r="AJT115" s="0"/>
      <c r="AJU115" s="0"/>
      <c r="AJV115" s="0"/>
      <c r="AJW115" s="0"/>
      <c r="AJX115" s="0"/>
      <c r="AJY115" s="0"/>
      <c r="AJZ115" s="0"/>
      <c r="AKA115" s="0"/>
      <c r="AKB115" s="0"/>
      <c r="AKC115" s="0"/>
      <c r="AKD115" s="0"/>
      <c r="AKE115" s="0"/>
      <c r="AKF115" s="0"/>
      <c r="AKG115" s="0"/>
      <c r="AKH115" s="0"/>
      <c r="AKI115" s="0"/>
      <c r="AKJ115" s="0"/>
      <c r="AKK115" s="0"/>
      <c r="AKL115" s="0"/>
      <c r="AKM115" s="0"/>
      <c r="AKN115" s="0"/>
      <c r="AKO115" s="0"/>
      <c r="AKP115" s="0"/>
      <c r="AKQ115" s="0"/>
      <c r="AKR115" s="0"/>
      <c r="AKS115" s="0"/>
      <c r="AKT115" s="0"/>
      <c r="AKU115" s="0"/>
      <c r="AKV115" s="0"/>
      <c r="AKW115" s="0"/>
      <c r="AKX115" s="0"/>
      <c r="AKY115" s="0"/>
      <c r="AKZ115" s="0"/>
      <c r="ALA115" s="0"/>
      <c r="ALB115" s="0"/>
      <c r="ALC115" s="0"/>
      <c r="ALD115" s="0"/>
      <c r="ALE115" s="0"/>
      <c r="ALF115" s="0"/>
      <c r="ALG115" s="0"/>
      <c r="ALH115" s="0"/>
      <c r="ALI115" s="0"/>
      <c r="ALJ115" s="0"/>
      <c r="ALK115" s="0"/>
      <c r="ALL115" s="0"/>
      <c r="ALM115" s="0"/>
      <c r="ALN115" s="0"/>
      <c r="ALO115" s="0"/>
      <c r="ALP115" s="0"/>
      <c r="ALQ115" s="0"/>
      <c r="ALR115" s="0"/>
      <c r="ALS115" s="0"/>
      <c r="ALT115" s="0"/>
      <c r="ALU115" s="0"/>
      <c r="ALV115" s="0"/>
      <c r="ALW115" s="0"/>
      <c r="ALX115" s="0"/>
      <c r="ALY115" s="0"/>
      <c r="ALZ115" s="0"/>
      <c r="AMA115" s="0"/>
      <c r="AMB115" s="0"/>
      <c r="AMC115" s="0"/>
      <c r="AMD115" s="0"/>
      <c r="AME115" s="0"/>
      <c r="AMF115" s="0"/>
      <c r="AMG115" s="0"/>
      <c r="AMH115" s="0"/>
      <c r="AMI115" s="0"/>
      <c r="AMJ115" s="0"/>
    </row>
    <row r="116" customFormat="false" ht="14.4" hidden="false" customHeight="false" outlineLevel="0" collapsed="false">
      <c r="A116" s="80" t="n">
        <f aca="false">(B116/83)*100</f>
        <v>1.6144578313253</v>
      </c>
      <c r="B116" s="14" t="n">
        <v>1.34</v>
      </c>
      <c r="C116" s="0"/>
      <c r="D116" s="14" t="n">
        <f aca="false">E116/I116</f>
        <v>0.815533980582524</v>
      </c>
      <c r="E116" s="15" t="n">
        <f aca="false">(G116+F116)/2/H116</f>
        <v>420</v>
      </c>
      <c r="F116" s="38" t="n">
        <v>400</v>
      </c>
      <c r="G116" s="17" t="n">
        <v>440</v>
      </c>
      <c r="H116" s="39" t="n">
        <v>1</v>
      </c>
      <c r="I116" s="19" t="n">
        <v>515</v>
      </c>
      <c r="J116" s="64" t="n">
        <v>0.25</v>
      </c>
      <c r="K116" s="0"/>
      <c r="M116" s="0"/>
      <c r="N116" s="19" t="n">
        <v>20</v>
      </c>
      <c r="O116" s="0"/>
      <c r="P116" s="0"/>
      <c r="Q116" s="19" t="n">
        <f aca="false">M116*N116</f>
        <v>0</v>
      </c>
      <c r="R116" s="21" t="n">
        <f aca="false">A116*N116</f>
        <v>32.289156626506</v>
      </c>
      <c r="S116" s="0"/>
      <c r="T116" s="22" t="n">
        <f aca="false">(G116-F116)/H116/E116</f>
        <v>0.0952380952380952</v>
      </c>
      <c r="U116" s="0"/>
      <c r="V116" s="0"/>
      <c r="W116" s="0"/>
      <c r="X116" s="0"/>
      <c r="Y116" s="0"/>
      <c r="Z116" s="40" t="s">
        <v>182</v>
      </c>
      <c r="AA116" s="19" t="s">
        <v>183</v>
      </c>
      <c r="AB116" s="41" t="n">
        <v>2013</v>
      </c>
      <c r="AC116" s="84" t="s">
        <v>184</v>
      </c>
      <c r="AD116" s="0"/>
      <c r="AE116" s="19" t="n">
        <v>270.5</v>
      </c>
      <c r="AF116" s="0"/>
      <c r="AG116" s="0"/>
      <c r="AH116" s="0"/>
      <c r="AI116" s="0"/>
      <c r="AJ116" s="0"/>
      <c r="AK116" s="66" t="n">
        <f aca="false">1070/J116*1000000000000</f>
        <v>4280000000000000</v>
      </c>
      <c r="AL116" s="85" t="s">
        <v>185</v>
      </c>
      <c r="AM116" s="19" t="s">
        <v>116</v>
      </c>
      <c r="AN116" s="0"/>
      <c r="AO116" s="0"/>
      <c r="AP116" s="0"/>
      <c r="AQ116" s="26" t="n">
        <v>8.4</v>
      </c>
      <c r="AR116" s="26" t="n">
        <v>8.4</v>
      </c>
      <c r="AS116" s="26" t="n">
        <v>8.4</v>
      </c>
      <c r="AT116" s="0"/>
      <c r="AU116" s="19" t="n">
        <v>0</v>
      </c>
      <c r="AV116" s="0"/>
      <c r="AW116" s="19" t="s">
        <v>117</v>
      </c>
      <c r="AX116" s="69" t="n">
        <v>0</v>
      </c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  <c r="OJ116" s="0"/>
      <c r="OK116" s="0"/>
      <c r="OL116" s="0"/>
      <c r="OM116" s="0"/>
      <c r="ON116" s="0"/>
      <c r="OO116" s="0"/>
      <c r="OP116" s="0"/>
      <c r="OQ116" s="0"/>
      <c r="OR116" s="0"/>
      <c r="OS116" s="0"/>
      <c r="OT116" s="0"/>
      <c r="OU116" s="0"/>
      <c r="OV116" s="0"/>
      <c r="OW116" s="0"/>
      <c r="OX116" s="0"/>
      <c r="OY116" s="0"/>
      <c r="OZ116" s="0"/>
      <c r="PA116" s="0"/>
      <c r="PB116" s="0"/>
      <c r="PC116" s="0"/>
      <c r="PD116" s="0"/>
      <c r="PE116" s="0"/>
      <c r="PF116" s="0"/>
      <c r="PG116" s="0"/>
      <c r="PH116" s="0"/>
      <c r="PI116" s="0"/>
      <c r="PJ116" s="0"/>
      <c r="PK116" s="0"/>
      <c r="PL116" s="0"/>
      <c r="PM116" s="0"/>
      <c r="PN116" s="0"/>
      <c r="PO116" s="0"/>
      <c r="PP116" s="0"/>
      <c r="PQ116" s="0"/>
      <c r="PR116" s="0"/>
      <c r="PS116" s="0"/>
      <c r="PT116" s="0"/>
      <c r="PU116" s="0"/>
      <c r="PV116" s="0"/>
      <c r="PW116" s="0"/>
      <c r="PX116" s="0"/>
      <c r="PY116" s="0"/>
      <c r="PZ116" s="0"/>
      <c r="QA116" s="0"/>
      <c r="QB116" s="0"/>
      <c r="QC116" s="0"/>
      <c r="QD116" s="0"/>
      <c r="QE116" s="0"/>
      <c r="QF116" s="0"/>
      <c r="QG116" s="0"/>
      <c r="QH116" s="0"/>
      <c r="QI116" s="0"/>
      <c r="QJ116" s="0"/>
      <c r="QK116" s="0"/>
      <c r="QL116" s="0"/>
      <c r="QM116" s="0"/>
      <c r="QN116" s="0"/>
      <c r="QO116" s="0"/>
      <c r="QP116" s="0"/>
      <c r="QQ116" s="0"/>
      <c r="QR116" s="0"/>
      <c r="QS116" s="0"/>
      <c r="QT116" s="0"/>
      <c r="QU116" s="0"/>
      <c r="QV116" s="0"/>
      <c r="QW116" s="0"/>
      <c r="QX116" s="0"/>
      <c r="QY116" s="0"/>
      <c r="QZ116" s="0"/>
      <c r="RA116" s="0"/>
      <c r="RB116" s="0"/>
      <c r="RC116" s="0"/>
      <c r="RD116" s="0"/>
      <c r="RE116" s="0"/>
      <c r="RF116" s="0"/>
      <c r="RG116" s="0"/>
      <c r="RH116" s="0"/>
      <c r="RI116" s="0"/>
      <c r="RJ116" s="0"/>
      <c r="RK116" s="0"/>
      <c r="RL116" s="0"/>
      <c r="RM116" s="0"/>
      <c r="RN116" s="0"/>
      <c r="RO116" s="0"/>
      <c r="RP116" s="0"/>
      <c r="RQ116" s="0"/>
      <c r="RR116" s="0"/>
      <c r="RS116" s="0"/>
      <c r="RT116" s="0"/>
      <c r="RU116" s="0"/>
      <c r="RV116" s="0"/>
      <c r="RW116" s="0"/>
      <c r="RX116" s="0"/>
      <c r="RY116" s="0"/>
      <c r="RZ116" s="0"/>
      <c r="SA116" s="0"/>
      <c r="SB116" s="0"/>
      <c r="SC116" s="0"/>
      <c r="SD116" s="0"/>
      <c r="SE116" s="0"/>
      <c r="SF116" s="0"/>
      <c r="SG116" s="0"/>
      <c r="SH116" s="0"/>
      <c r="SI116" s="0"/>
      <c r="SJ116" s="0"/>
      <c r="SK116" s="0"/>
      <c r="SL116" s="0"/>
      <c r="SM116" s="0"/>
      <c r="SN116" s="0"/>
      <c r="SO116" s="0"/>
      <c r="SP116" s="0"/>
      <c r="SQ116" s="0"/>
      <c r="SR116" s="0"/>
      <c r="SS116" s="0"/>
      <c r="ST116" s="0"/>
      <c r="SU116" s="0"/>
      <c r="SV116" s="0"/>
      <c r="SW116" s="0"/>
      <c r="SX116" s="0"/>
      <c r="SY116" s="0"/>
      <c r="SZ116" s="0"/>
      <c r="TA116" s="0"/>
      <c r="TB116" s="0"/>
      <c r="TC116" s="0"/>
      <c r="TD116" s="0"/>
      <c r="TE116" s="0"/>
      <c r="TF116" s="0"/>
      <c r="TG116" s="0"/>
      <c r="TH116" s="0"/>
      <c r="TI116" s="0"/>
      <c r="TJ116" s="0"/>
      <c r="TK116" s="0"/>
      <c r="TL116" s="0"/>
      <c r="TM116" s="0"/>
      <c r="TN116" s="0"/>
      <c r="TO116" s="0"/>
      <c r="TP116" s="0"/>
      <c r="TQ116" s="0"/>
      <c r="TR116" s="0"/>
      <c r="TS116" s="0"/>
      <c r="TT116" s="0"/>
      <c r="TU116" s="0"/>
      <c r="TV116" s="0"/>
      <c r="TW116" s="0"/>
      <c r="TX116" s="0"/>
      <c r="TY116" s="0"/>
      <c r="TZ116" s="0"/>
      <c r="UA116" s="0"/>
      <c r="UB116" s="0"/>
      <c r="UC116" s="0"/>
      <c r="UD116" s="0"/>
      <c r="UE116" s="0"/>
      <c r="UF116" s="0"/>
      <c r="UG116" s="0"/>
      <c r="UH116" s="0"/>
      <c r="UI116" s="0"/>
      <c r="UJ116" s="0"/>
      <c r="UK116" s="0"/>
      <c r="UL116" s="0"/>
      <c r="UM116" s="0"/>
      <c r="UN116" s="0"/>
      <c r="UO116" s="0"/>
      <c r="UP116" s="0"/>
      <c r="UQ116" s="0"/>
      <c r="UR116" s="0"/>
      <c r="US116" s="0"/>
      <c r="UT116" s="0"/>
      <c r="UU116" s="0"/>
      <c r="UV116" s="0"/>
      <c r="UW116" s="0"/>
      <c r="UX116" s="0"/>
      <c r="UY116" s="0"/>
      <c r="UZ116" s="0"/>
      <c r="VA116" s="0"/>
      <c r="VB116" s="0"/>
      <c r="VC116" s="0"/>
      <c r="VD116" s="0"/>
      <c r="VE116" s="0"/>
      <c r="VF116" s="0"/>
      <c r="VG116" s="0"/>
      <c r="VH116" s="0"/>
      <c r="VI116" s="0"/>
      <c r="VJ116" s="0"/>
      <c r="VK116" s="0"/>
      <c r="VL116" s="0"/>
      <c r="VM116" s="0"/>
      <c r="VN116" s="0"/>
      <c r="VO116" s="0"/>
      <c r="VP116" s="0"/>
      <c r="VQ116" s="0"/>
      <c r="VR116" s="0"/>
      <c r="VS116" s="0"/>
      <c r="VT116" s="0"/>
      <c r="VU116" s="0"/>
      <c r="VV116" s="0"/>
      <c r="VW116" s="0"/>
      <c r="VX116" s="0"/>
      <c r="VY116" s="0"/>
      <c r="VZ116" s="0"/>
      <c r="WA116" s="0"/>
      <c r="WB116" s="0"/>
      <c r="WC116" s="0"/>
      <c r="WD116" s="0"/>
      <c r="WE116" s="0"/>
      <c r="WF116" s="0"/>
      <c r="WG116" s="0"/>
      <c r="WH116" s="0"/>
      <c r="WI116" s="0"/>
      <c r="WJ116" s="0"/>
      <c r="WK116" s="0"/>
      <c r="WL116" s="0"/>
      <c r="WM116" s="0"/>
      <c r="WN116" s="0"/>
      <c r="WO116" s="0"/>
      <c r="WP116" s="0"/>
      <c r="WQ116" s="0"/>
      <c r="WR116" s="0"/>
      <c r="WS116" s="0"/>
      <c r="WT116" s="0"/>
      <c r="WU116" s="0"/>
      <c r="WV116" s="0"/>
      <c r="WW116" s="0"/>
      <c r="WX116" s="0"/>
      <c r="WY116" s="0"/>
      <c r="WZ116" s="0"/>
      <c r="XA116" s="0"/>
      <c r="XB116" s="0"/>
      <c r="XC116" s="0"/>
      <c r="XD116" s="0"/>
      <c r="XE116" s="0"/>
      <c r="XF116" s="0"/>
      <c r="XG116" s="0"/>
      <c r="XH116" s="0"/>
      <c r="XI116" s="0"/>
      <c r="XJ116" s="0"/>
      <c r="XK116" s="0"/>
      <c r="XL116" s="0"/>
      <c r="XM116" s="0"/>
      <c r="XN116" s="0"/>
      <c r="XO116" s="0"/>
      <c r="XP116" s="0"/>
      <c r="XQ116" s="0"/>
      <c r="XR116" s="0"/>
      <c r="XS116" s="0"/>
      <c r="XT116" s="0"/>
      <c r="XU116" s="0"/>
      <c r="XV116" s="0"/>
      <c r="XW116" s="0"/>
      <c r="XX116" s="0"/>
      <c r="XY116" s="0"/>
      <c r="XZ116" s="0"/>
      <c r="YA116" s="0"/>
      <c r="YB116" s="0"/>
      <c r="YC116" s="0"/>
      <c r="YD116" s="0"/>
      <c r="YE116" s="0"/>
      <c r="YF116" s="0"/>
      <c r="YG116" s="0"/>
      <c r="YH116" s="0"/>
      <c r="YI116" s="0"/>
      <c r="YJ116" s="0"/>
      <c r="YK116" s="0"/>
      <c r="YL116" s="0"/>
      <c r="YM116" s="0"/>
      <c r="YN116" s="0"/>
      <c r="YO116" s="0"/>
      <c r="YP116" s="0"/>
      <c r="YQ116" s="0"/>
      <c r="YR116" s="0"/>
      <c r="YS116" s="0"/>
      <c r="YT116" s="0"/>
      <c r="YU116" s="0"/>
      <c r="YV116" s="0"/>
      <c r="YW116" s="0"/>
      <c r="YX116" s="0"/>
      <c r="YY116" s="0"/>
      <c r="YZ116" s="0"/>
      <c r="ZA116" s="0"/>
      <c r="ZB116" s="0"/>
      <c r="ZC116" s="0"/>
      <c r="ZD116" s="0"/>
      <c r="ZE116" s="0"/>
      <c r="ZF116" s="0"/>
      <c r="ZG116" s="0"/>
      <c r="ZH116" s="0"/>
      <c r="ZI116" s="0"/>
      <c r="ZJ116" s="0"/>
      <c r="ZK116" s="0"/>
      <c r="ZL116" s="0"/>
      <c r="ZM116" s="0"/>
      <c r="ZN116" s="0"/>
      <c r="ZO116" s="0"/>
      <c r="ZP116" s="0"/>
      <c r="ZQ116" s="0"/>
      <c r="ZR116" s="0"/>
      <c r="ZS116" s="0"/>
      <c r="ZT116" s="0"/>
      <c r="ZU116" s="0"/>
      <c r="ZV116" s="0"/>
      <c r="ZW116" s="0"/>
      <c r="ZX116" s="0"/>
      <c r="ZY116" s="0"/>
      <c r="ZZ116" s="0"/>
      <c r="AAA116" s="0"/>
      <c r="AAB116" s="0"/>
      <c r="AAC116" s="0"/>
      <c r="AAD116" s="0"/>
      <c r="AAE116" s="0"/>
      <c r="AAF116" s="0"/>
      <c r="AAG116" s="0"/>
      <c r="AAH116" s="0"/>
      <c r="AAI116" s="0"/>
      <c r="AAJ116" s="0"/>
      <c r="AAK116" s="0"/>
      <c r="AAL116" s="0"/>
      <c r="AAM116" s="0"/>
      <c r="AAN116" s="0"/>
      <c r="AAO116" s="0"/>
      <c r="AAP116" s="0"/>
      <c r="AAQ116" s="0"/>
      <c r="AAR116" s="0"/>
      <c r="AAS116" s="0"/>
      <c r="AAT116" s="0"/>
      <c r="AAU116" s="0"/>
      <c r="AAV116" s="0"/>
      <c r="AAW116" s="0"/>
      <c r="AAX116" s="0"/>
      <c r="AAY116" s="0"/>
      <c r="AAZ116" s="0"/>
      <c r="ABA116" s="0"/>
      <c r="ABB116" s="0"/>
      <c r="ABC116" s="0"/>
      <c r="ABD116" s="0"/>
      <c r="ABE116" s="0"/>
      <c r="ABF116" s="0"/>
      <c r="ABG116" s="0"/>
      <c r="ABH116" s="0"/>
      <c r="ABI116" s="0"/>
      <c r="ABJ116" s="0"/>
      <c r="ABK116" s="0"/>
      <c r="ABL116" s="0"/>
      <c r="ABM116" s="0"/>
      <c r="ABN116" s="0"/>
      <c r="ABO116" s="0"/>
      <c r="ABP116" s="0"/>
      <c r="ABQ116" s="0"/>
      <c r="ABR116" s="0"/>
      <c r="ABS116" s="0"/>
      <c r="ABT116" s="0"/>
      <c r="ABU116" s="0"/>
      <c r="ABV116" s="0"/>
      <c r="ABW116" s="0"/>
      <c r="ABX116" s="0"/>
      <c r="ABY116" s="0"/>
      <c r="ABZ116" s="0"/>
      <c r="ACA116" s="0"/>
      <c r="ACB116" s="0"/>
      <c r="ACC116" s="0"/>
      <c r="ACD116" s="0"/>
      <c r="ACE116" s="0"/>
      <c r="ACF116" s="0"/>
      <c r="ACG116" s="0"/>
      <c r="ACH116" s="0"/>
      <c r="ACI116" s="0"/>
      <c r="ACJ116" s="0"/>
      <c r="ACK116" s="0"/>
      <c r="ACL116" s="0"/>
      <c r="ACM116" s="0"/>
      <c r="ACN116" s="0"/>
      <c r="ACO116" s="0"/>
      <c r="ACP116" s="0"/>
      <c r="ACQ116" s="0"/>
      <c r="ACR116" s="0"/>
      <c r="ACS116" s="0"/>
      <c r="ACT116" s="0"/>
      <c r="ACU116" s="0"/>
      <c r="ACV116" s="0"/>
      <c r="ACW116" s="0"/>
      <c r="ACX116" s="0"/>
      <c r="ACY116" s="0"/>
      <c r="ACZ116" s="0"/>
      <c r="ADA116" s="0"/>
      <c r="ADB116" s="0"/>
      <c r="ADC116" s="0"/>
      <c r="ADD116" s="0"/>
      <c r="ADE116" s="0"/>
      <c r="ADF116" s="0"/>
      <c r="ADG116" s="0"/>
      <c r="ADH116" s="0"/>
      <c r="ADI116" s="0"/>
      <c r="ADJ116" s="0"/>
      <c r="ADK116" s="0"/>
      <c r="ADL116" s="0"/>
      <c r="ADM116" s="0"/>
      <c r="ADN116" s="0"/>
      <c r="ADO116" s="0"/>
      <c r="ADP116" s="0"/>
      <c r="ADQ116" s="0"/>
      <c r="ADR116" s="0"/>
      <c r="ADS116" s="0"/>
      <c r="ADT116" s="0"/>
      <c r="ADU116" s="0"/>
      <c r="ADV116" s="0"/>
      <c r="ADW116" s="0"/>
      <c r="ADX116" s="0"/>
      <c r="ADY116" s="0"/>
      <c r="ADZ116" s="0"/>
      <c r="AEA116" s="0"/>
      <c r="AEB116" s="0"/>
      <c r="AEC116" s="0"/>
      <c r="AED116" s="0"/>
      <c r="AEE116" s="0"/>
      <c r="AEF116" s="0"/>
      <c r="AEG116" s="0"/>
      <c r="AEH116" s="0"/>
      <c r="AEI116" s="0"/>
      <c r="AEJ116" s="0"/>
      <c r="AEK116" s="0"/>
      <c r="AEL116" s="0"/>
      <c r="AEM116" s="0"/>
      <c r="AEN116" s="0"/>
      <c r="AEO116" s="0"/>
      <c r="AEP116" s="0"/>
      <c r="AEQ116" s="0"/>
      <c r="AER116" s="0"/>
      <c r="AES116" s="0"/>
      <c r="AET116" s="0"/>
      <c r="AEU116" s="0"/>
      <c r="AEV116" s="0"/>
      <c r="AEW116" s="0"/>
      <c r="AEX116" s="0"/>
      <c r="AEY116" s="0"/>
      <c r="AEZ116" s="0"/>
      <c r="AFA116" s="0"/>
      <c r="AFB116" s="0"/>
      <c r="AFC116" s="0"/>
      <c r="AFD116" s="0"/>
      <c r="AFE116" s="0"/>
      <c r="AFF116" s="0"/>
      <c r="AFG116" s="0"/>
      <c r="AFH116" s="0"/>
      <c r="AFI116" s="0"/>
      <c r="AFJ116" s="0"/>
      <c r="AFK116" s="0"/>
      <c r="AFL116" s="0"/>
      <c r="AFM116" s="0"/>
      <c r="AFN116" s="0"/>
      <c r="AFO116" s="0"/>
      <c r="AFP116" s="0"/>
      <c r="AFQ116" s="0"/>
      <c r="AFR116" s="0"/>
      <c r="AFS116" s="0"/>
      <c r="AFT116" s="0"/>
      <c r="AFU116" s="0"/>
      <c r="AFV116" s="0"/>
      <c r="AFW116" s="0"/>
      <c r="AFX116" s="0"/>
      <c r="AFY116" s="0"/>
      <c r="AFZ116" s="0"/>
      <c r="AGA116" s="0"/>
      <c r="AGB116" s="0"/>
      <c r="AGC116" s="0"/>
      <c r="AGD116" s="0"/>
      <c r="AGE116" s="0"/>
      <c r="AGF116" s="0"/>
      <c r="AGG116" s="0"/>
      <c r="AGH116" s="0"/>
      <c r="AGI116" s="0"/>
      <c r="AGJ116" s="0"/>
      <c r="AGK116" s="0"/>
      <c r="AGL116" s="0"/>
      <c r="AGM116" s="0"/>
      <c r="AGN116" s="0"/>
      <c r="AGO116" s="0"/>
      <c r="AGP116" s="0"/>
      <c r="AGQ116" s="0"/>
      <c r="AGR116" s="0"/>
      <c r="AGS116" s="0"/>
      <c r="AGT116" s="0"/>
      <c r="AGU116" s="0"/>
      <c r="AGV116" s="0"/>
      <c r="AGW116" s="0"/>
      <c r="AGX116" s="0"/>
      <c r="AGY116" s="0"/>
      <c r="AGZ116" s="0"/>
      <c r="AHA116" s="0"/>
      <c r="AHB116" s="0"/>
      <c r="AHC116" s="0"/>
      <c r="AHD116" s="0"/>
      <c r="AHE116" s="0"/>
      <c r="AHF116" s="0"/>
      <c r="AHG116" s="0"/>
      <c r="AHH116" s="0"/>
      <c r="AHI116" s="0"/>
      <c r="AHJ116" s="0"/>
      <c r="AHK116" s="0"/>
      <c r="AHL116" s="0"/>
      <c r="AHM116" s="0"/>
      <c r="AHN116" s="0"/>
      <c r="AHO116" s="0"/>
      <c r="AHP116" s="0"/>
      <c r="AHQ116" s="0"/>
      <c r="AHR116" s="0"/>
      <c r="AHS116" s="0"/>
      <c r="AHT116" s="0"/>
      <c r="AHU116" s="0"/>
      <c r="AHV116" s="0"/>
      <c r="AHW116" s="0"/>
      <c r="AHX116" s="0"/>
      <c r="AHY116" s="0"/>
      <c r="AHZ116" s="0"/>
      <c r="AIA116" s="0"/>
      <c r="AIB116" s="0"/>
      <c r="AIC116" s="0"/>
      <c r="AID116" s="0"/>
      <c r="AIE116" s="0"/>
      <c r="AIF116" s="0"/>
      <c r="AIG116" s="0"/>
      <c r="AIH116" s="0"/>
      <c r="AII116" s="0"/>
      <c r="AIJ116" s="0"/>
      <c r="AIK116" s="0"/>
      <c r="AIL116" s="0"/>
      <c r="AIM116" s="0"/>
      <c r="AIN116" s="0"/>
      <c r="AIO116" s="0"/>
      <c r="AIP116" s="0"/>
      <c r="AIQ116" s="0"/>
      <c r="AIR116" s="0"/>
      <c r="AIS116" s="0"/>
      <c r="AIT116" s="0"/>
      <c r="AIU116" s="0"/>
      <c r="AIV116" s="0"/>
      <c r="AIW116" s="0"/>
      <c r="AIX116" s="0"/>
      <c r="AIY116" s="0"/>
      <c r="AIZ116" s="0"/>
      <c r="AJA116" s="0"/>
      <c r="AJB116" s="0"/>
      <c r="AJC116" s="0"/>
      <c r="AJD116" s="0"/>
      <c r="AJE116" s="0"/>
      <c r="AJF116" s="0"/>
      <c r="AJG116" s="0"/>
      <c r="AJH116" s="0"/>
      <c r="AJI116" s="0"/>
      <c r="AJJ116" s="0"/>
      <c r="AJK116" s="0"/>
      <c r="AJL116" s="0"/>
      <c r="AJM116" s="0"/>
      <c r="AJN116" s="0"/>
      <c r="AJO116" s="0"/>
      <c r="AJP116" s="0"/>
      <c r="AJQ116" s="0"/>
      <c r="AJR116" s="0"/>
      <c r="AJS116" s="0"/>
      <c r="AJT116" s="0"/>
      <c r="AJU116" s="0"/>
      <c r="AJV116" s="0"/>
      <c r="AJW116" s="0"/>
      <c r="AJX116" s="0"/>
      <c r="AJY116" s="0"/>
      <c r="AJZ116" s="0"/>
      <c r="AKA116" s="0"/>
      <c r="AKB116" s="0"/>
      <c r="AKC116" s="0"/>
      <c r="AKD116" s="0"/>
      <c r="AKE116" s="0"/>
      <c r="AKF116" s="0"/>
      <c r="AKG116" s="0"/>
      <c r="AKH116" s="0"/>
      <c r="AKI116" s="0"/>
      <c r="AKJ116" s="0"/>
      <c r="AKK116" s="0"/>
      <c r="AKL116" s="0"/>
      <c r="AKM116" s="0"/>
      <c r="AKN116" s="0"/>
      <c r="AKO116" s="0"/>
      <c r="AKP116" s="0"/>
      <c r="AKQ116" s="0"/>
      <c r="AKR116" s="0"/>
      <c r="AKS116" s="0"/>
      <c r="AKT116" s="0"/>
      <c r="AKU116" s="0"/>
      <c r="AKV116" s="0"/>
      <c r="AKW116" s="0"/>
      <c r="AKX116" s="0"/>
      <c r="AKY116" s="0"/>
      <c r="AKZ116" s="0"/>
      <c r="ALA116" s="0"/>
      <c r="ALB116" s="0"/>
      <c r="ALC116" s="0"/>
      <c r="ALD116" s="0"/>
      <c r="ALE116" s="0"/>
      <c r="ALF116" s="0"/>
      <c r="ALG116" s="0"/>
      <c r="ALH116" s="0"/>
      <c r="ALI116" s="0"/>
      <c r="ALJ116" s="0"/>
      <c r="ALK116" s="0"/>
      <c r="ALL116" s="0"/>
      <c r="ALM116" s="0"/>
      <c r="ALN116" s="0"/>
      <c r="ALO116" s="0"/>
      <c r="ALP116" s="0"/>
      <c r="ALQ116" s="0"/>
      <c r="ALR116" s="0"/>
      <c r="ALS116" s="0"/>
      <c r="ALT116" s="0"/>
      <c r="ALU116" s="0"/>
      <c r="ALV116" s="0"/>
      <c r="ALW116" s="0"/>
      <c r="ALX116" s="0"/>
      <c r="ALY116" s="0"/>
      <c r="ALZ116" s="0"/>
      <c r="AMA116" s="0"/>
      <c r="AMB116" s="0"/>
      <c r="AMC116" s="0"/>
      <c r="AMD116" s="0"/>
      <c r="AME116" s="0"/>
      <c r="AMF116" s="0"/>
      <c r="AMG116" s="0"/>
      <c r="AMH116" s="0"/>
      <c r="AMI116" s="0"/>
      <c r="AMJ116" s="0"/>
    </row>
    <row r="117" customFormat="false" ht="14.4" hidden="false" customHeight="false" outlineLevel="0" collapsed="false">
      <c r="A117" s="80" t="n">
        <f aca="false">(B117/83)*100</f>
        <v>1.83132530120482</v>
      </c>
      <c r="B117" s="14" t="n">
        <v>1.52</v>
      </c>
      <c r="C117" s="0"/>
      <c r="D117" s="14" t="n">
        <f aca="false">E117/I117</f>
        <v>0.83495145631068</v>
      </c>
      <c r="E117" s="15" t="n">
        <f aca="false">(G117+F117)/2/H117</f>
        <v>430</v>
      </c>
      <c r="F117" s="38" t="n">
        <v>410</v>
      </c>
      <c r="G117" s="17" t="n">
        <v>450</v>
      </c>
      <c r="H117" s="39" t="n">
        <v>1</v>
      </c>
      <c r="I117" s="19" t="n">
        <v>515</v>
      </c>
      <c r="J117" s="64" t="n">
        <v>0.25</v>
      </c>
      <c r="K117" s="0"/>
      <c r="M117" s="0"/>
      <c r="N117" s="19" t="n">
        <v>20</v>
      </c>
      <c r="O117" s="0"/>
      <c r="P117" s="0"/>
      <c r="Q117" s="19" t="n">
        <f aca="false">M117*N117</f>
        <v>0</v>
      </c>
      <c r="R117" s="21" t="n">
        <f aca="false">A117*N117</f>
        <v>36.6265060240964</v>
      </c>
      <c r="S117" s="0"/>
      <c r="T117" s="22" t="n">
        <f aca="false">(G117-F117)/H117/E117</f>
        <v>0.0930232558139535</v>
      </c>
      <c r="U117" s="0"/>
      <c r="V117" s="0"/>
      <c r="W117" s="0"/>
      <c r="X117" s="0"/>
      <c r="Y117" s="0"/>
      <c r="Z117" s="40" t="s">
        <v>182</v>
      </c>
      <c r="AA117" s="19" t="s">
        <v>183</v>
      </c>
      <c r="AB117" s="41" t="n">
        <v>2013</v>
      </c>
      <c r="AC117" s="84" t="s">
        <v>184</v>
      </c>
      <c r="AD117" s="0"/>
      <c r="AE117" s="19" t="n">
        <v>270.5</v>
      </c>
      <c r="AF117" s="0"/>
      <c r="AG117" s="0"/>
      <c r="AH117" s="0"/>
      <c r="AI117" s="0"/>
      <c r="AJ117" s="0"/>
      <c r="AK117" s="66" t="n">
        <f aca="false">1070/J117*1000000000000</f>
        <v>4280000000000000</v>
      </c>
      <c r="AL117" s="85" t="s">
        <v>185</v>
      </c>
      <c r="AM117" s="19" t="s">
        <v>116</v>
      </c>
      <c r="AN117" s="0"/>
      <c r="AO117" s="0"/>
      <c r="AP117" s="0"/>
      <c r="AQ117" s="26" t="n">
        <v>8.4</v>
      </c>
      <c r="AR117" s="26" t="n">
        <v>8.4</v>
      </c>
      <c r="AS117" s="26" t="n">
        <v>8.4</v>
      </c>
      <c r="AT117" s="0"/>
      <c r="AU117" s="19" t="n">
        <v>0</v>
      </c>
      <c r="AV117" s="0"/>
      <c r="AW117" s="19" t="s">
        <v>117</v>
      </c>
      <c r="AX117" s="69" t="n">
        <v>0</v>
      </c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  <c r="OJ117" s="0"/>
      <c r="OK117" s="0"/>
      <c r="OL117" s="0"/>
      <c r="OM117" s="0"/>
      <c r="ON117" s="0"/>
      <c r="OO117" s="0"/>
      <c r="OP117" s="0"/>
      <c r="OQ117" s="0"/>
      <c r="OR117" s="0"/>
      <c r="OS117" s="0"/>
      <c r="OT117" s="0"/>
      <c r="OU117" s="0"/>
      <c r="OV117" s="0"/>
      <c r="OW117" s="0"/>
      <c r="OX117" s="0"/>
      <c r="OY117" s="0"/>
      <c r="OZ117" s="0"/>
      <c r="PA117" s="0"/>
      <c r="PB117" s="0"/>
      <c r="PC117" s="0"/>
      <c r="PD117" s="0"/>
      <c r="PE117" s="0"/>
      <c r="PF117" s="0"/>
      <c r="PG117" s="0"/>
      <c r="PH117" s="0"/>
      <c r="PI117" s="0"/>
      <c r="PJ117" s="0"/>
      <c r="PK117" s="0"/>
      <c r="PL117" s="0"/>
      <c r="PM117" s="0"/>
      <c r="PN117" s="0"/>
      <c r="PO117" s="0"/>
      <c r="PP117" s="0"/>
      <c r="PQ117" s="0"/>
      <c r="PR117" s="0"/>
      <c r="PS117" s="0"/>
      <c r="PT117" s="0"/>
      <c r="PU117" s="0"/>
      <c r="PV117" s="0"/>
      <c r="PW117" s="0"/>
      <c r="PX117" s="0"/>
      <c r="PY117" s="0"/>
      <c r="PZ117" s="0"/>
      <c r="QA117" s="0"/>
      <c r="QB117" s="0"/>
      <c r="QC117" s="0"/>
      <c r="QD117" s="0"/>
      <c r="QE117" s="0"/>
      <c r="QF117" s="0"/>
      <c r="QG117" s="0"/>
      <c r="QH117" s="0"/>
      <c r="QI117" s="0"/>
      <c r="QJ117" s="0"/>
      <c r="QK117" s="0"/>
      <c r="QL117" s="0"/>
      <c r="QM117" s="0"/>
      <c r="QN117" s="0"/>
      <c r="QO117" s="0"/>
      <c r="QP117" s="0"/>
      <c r="QQ117" s="0"/>
      <c r="QR117" s="0"/>
      <c r="QS117" s="0"/>
      <c r="QT117" s="0"/>
      <c r="QU117" s="0"/>
      <c r="QV117" s="0"/>
      <c r="QW117" s="0"/>
      <c r="QX117" s="0"/>
      <c r="QY117" s="0"/>
      <c r="QZ117" s="0"/>
      <c r="RA117" s="0"/>
      <c r="RB117" s="0"/>
      <c r="RC117" s="0"/>
      <c r="RD117" s="0"/>
      <c r="RE117" s="0"/>
      <c r="RF117" s="0"/>
      <c r="RG117" s="0"/>
      <c r="RH117" s="0"/>
      <c r="RI117" s="0"/>
      <c r="RJ117" s="0"/>
      <c r="RK117" s="0"/>
      <c r="RL117" s="0"/>
      <c r="RM117" s="0"/>
      <c r="RN117" s="0"/>
      <c r="RO117" s="0"/>
      <c r="RP117" s="0"/>
      <c r="RQ117" s="0"/>
      <c r="RR117" s="0"/>
      <c r="RS117" s="0"/>
      <c r="RT117" s="0"/>
      <c r="RU117" s="0"/>
      <c r="RV117" s="0"/>
      <c r="RW117" s="0"/>
      <c r="RX117" s="0"/>
      <c r="RY117" s="0"/>
      <c r="RZ117" s="0"/>
      <c r="SA117" s="0"/>
      <c r="SB117" s="0"/>
      <c r="SC117" s="0"/>
      <c r="SD117" s="0"/>
      <c r="SE117" s="0"/>
      <c r="SF117" s="0"/>
      <c r="SG117" s="0"/>
      <c r="SH117" s="0"/>
      <c r="SI117" s="0"/>
      <c r="SJ117" s="0"/>
      <c r="SK117" s="0"/>
      <c r="SL117" s="0"/>
      <c r="SM117" s="0"/>
      <c r="SN117" s="0"/>
      <c r="SO117" s="0"/>
      <c r="SP117" s="0"/>
      <c r="SQ117" s="0"/>
      <c r="SR117" s="0"/>
      <c r="SS117" s="0"/>
      <c r="ST117" s="0"/>
      <c r="SU117" s="0"/>
      <c r="SV117" s="0"/>
      <c r="SW117" s="0"/>
      <c r="SX117" s="0"/>
      <c r="SY117" s="0"/>
      <c r="SZ117" s="0"/>
      <c r="TA117" s="0"/>
      <c r="TB117" s="0"/>
      <c r="TC117" s="0"/>
      <c r="TD117" s="0"/>
      <c r="TE117" s="0"/>
      <c r="TF117" s="0"/>
      <c r="TG117" s="0"/>
      <c r="TH117" s="0"/>
      <c r="TI117" s="0"/>
      <c r="TJ117" s="0"/>
      <c r="TK117" s="0"/>
      <c r="TL117" s="0"/>
      <c r="TM117" s="0"/>
      <c r="TN117" s="0"/>
      <c r="TO117" s="0"/>
      <c r="TP117" s="0"/>
      <c r="TQ117" s="0"/>
      <c r="TR117" s="0"/>
      <c r="TS117" s="0"/>
      <c r="TT117" s="0"/>
      <c r="TU117" s="0"/>
      <c r="TV117" s="0"/>
      <c r="TW117" s="0"/>
      <c r="TX117" s="0"/>
      <c r="TY117" s="0"/>
      <c r="TZ117" s="0"/>
      <c r="UA117" s="0"/>
      <c r="UB117" s="0"/>
      <c r="UC117" s="0"/>
      <c r="UD117" s="0"/>
      <c r="UE117" s="0"/>
      <c r="UF117" s="0"/>
      <c r="UG117" s="0"/>
      <c r="UH117" s="0"/>
      <c r="UI117" s="0"/>
      <c r="UJ117" s="0"/>
      <c r="UK117" s="0"/>
      <c r="UL117" s="0"/>
      <c r="UM117" s="0"/>
      <c r="UN117" s="0"/>
      <c r="UO117" s="0"/>
      <c r="UP117" s="0"/>
      <c r="UQ117" s="0"/>
      <c r="UR117" s="0"/>
      <c r="US117" s="0"/>
      <c r="UT117" s="0"/>
      <c r="UU117" s="0"/>
      <c r="UV117" s="0"/>
      <c r="UW117" s="0"/>
      <c r="UX117" s="0"/>
      <c r="UY117" s="0"/>
      <c r="UZ117" s="0"/>
      <c r="VA117" s="0"/>
      <c r="VB117" s="0"/>
      <c r="VC117" s="0"/>
      <c r="VD117" s="0"/>
      <c r="VE117" s="0"/>
      <c r="VF117" s="0"/>
      <c r="VG117" s="0"/>
      <c r="VH117" s="0"/>
      <c r="VI117" s="0"/>
      <c r="VJ117" s="0"/>
      <c r="VK117" s="0"/>
      <c r="VL117" s="0"/>
      <c r="VM117" s="0"/>
      <c r="VN117" s="0"/>
      <c r="VO117" s="0"/>
      <c r="VP117" s="0"/>
      <c r="VQ117" s="0"/>
      <c r="VR117" s="0"/>
      <c r="VS117" s="0"/>
      <c r="VT117" s="0"/>
      <c r="VU117" s="0"/>
      <c r="VV117" s="0"/>
      <c r="VW117" s="0"/>
      <c r="VX117" s="0"/>
      <c r="VY117" s="0"/>
      <c r="VZ117" s="0"/>
      <c r="WA117" s="0"/>
      <c r="WB117" s="0"/>
      <c r="WC117" s="0"/>
      <c r="WD117" s="0"/>
      <c r="WE117" s="0"/>
      <c r="WF117" s="0"/>
      <c r="WG117" s="0"/>
      <c r="WH117" s="0"/>
      <c r="WI117" s="0"/>
      <c r="WJ117" s="0"/>
      <c r="WK117" s="0"/>
      <c r="WL117" s="0"/>
      <c r="WM117" s="0"/>
      <c r="WN117" s="0"/>
      <c r="WO117" s="0"/>
      <c r="WP117" s="0"/>
      <c r="WQ117" s="0"/>
      <c r="WR117" s="0"/>
      <c r="WS117" s="0"/>
      <c r="WT117" s="0"/>
      <c r="WU117" s="0"/>
      <c r="WV117" s="0"/>
      <c r="WW117" s="0"/>
      <c r="WX117" s="0"/>
      <c r="WY117" s="0"/>
      <c r="WZ117" s="0"/>
      <c r="XA117" s="0"/>
      <c r="XB117" s="0"/>
      <c r="XC117" s="0"/>
      <c r="XD117" s="0"/>
      <c r="XE117" s="0"/>
      <c r="XF117" s="0"/>
      <c r="XG117" s="0"/>
      <c r="XH117" s="0"/>
      <c r="XI117" s="0"/>
      <c r="XJ117" s="0"/>
      <c r="XK117" s="0"/>
      <c r="XL117" s="0"/>
      <c r="XM117" s="0"/>
      <c r="XN117" s="0"/>
      <c r="XO117" s="0"/>
      <c r="XP117" s="0"/>
      <c r="XQ117" s="0"/>
      <c r="XR117" s="0"/>
      <c r="XS117" s="0"/>
      <c r="XT117" s="0"/>
      <c r="XU117" s="0"/>
      <c r="XV117" s="0"/>
      <c r="XW117" s="0"/>
      <c r="XX117" s="0"/>
      <c r="XY117" s="0"/>
      <c r="XZ117" s="0"/>
      <c r="YA117" s="0"/>
      <c r="YB117" s="0"/>
      <c r="YC117" s="0"/>
      <c r="YD117" s="0"/>
      <c r="YE117" s="0"/>
      <c r="YF117" s="0"/>
      <c r="YG117" s="0"/>
      <c r="YH117" s="0"/>
      <c r="YI117" s="0"/>
      <c r="YJ117" s="0"/>
      <c r="YK117" s="0"/>
      <c r="YL117" s="0"/>
      <c r="YM117" s="0"/>
      <c r="YN117" s="0"/>
      <c r="YO117" s="0"/>
      <c r="YP117" s="0"/>
      <c r="YQ117" s="0"/>
      <c r="YR117" s="0"/>
      <c r="YS117" s="0"/>
      <c r="YT117" s="0"/>
      <c r="YU117" s="0"/>
      <c r="YV117" s="0"/>
      <c r="YW117" s="0"/>
      <c r="YX117" s="0"/>
      <c r="YY117" s="0"/>
      <c r="YZ117" s="0"/>
      <c r="ZA117" s="0"/>
      <c r="ZB117" s="0"/>
      <c r="ZC117" s="0"/>
      <c r="ZD117" s="0"/>
      <c r="ZE117" s="0"/>
      <c r="ZF117" s="0"/>
      <c r="ZG117" s="0"/>
      <c r="ZH117" s="0"/>
      <c r="ZI117" s="0"/>
      <c r="ZJ117" s="0"/>
      <c r="ZK117" s="0"/>
      <c r="ZL117" s="0"/>
      <c r="ZM117" s="0"/>
      <c r="ZN117" s="0"/>
      <c r="ZO117" s="0"/>
      <c r="ZP117" s="0"/>
      <c r="ZQ117" s="0"/>
      <c r="ZR117" s="0"/>
      <c r="ZS117" s="0"/>
      <c r="ZT117" s="0"/>
      <c r="ZU117" s="0"/>
      <c r="ZV117" s="0"/>
      <c r="ZW117" s="0"/>
      <c r="ZX117" s="0"/>
      <c r="ZY117" s="0"/>
      <c r="ZZ117" s="0"/>
      <c r="AAA117" s="0"/>
      <c r="AAB117" s="0"/>
      <c r="AAC117" s="0"/>
      <c r="AAD117" s="0"/>
      <c r="AAE117" s="0"/>
      <c r="AAF117" s="0"/>
      <c r="AAG117" s="0"/>
      <c r="AAH117" s="0"/>
      <c r="AAI117" s="0"/>
      <c r="AAJ117" s="0"/>
      <c r="AAK117" s="0"/>
      <c r="AAL117" s="0"/>
      <c r="AAM117" s="0"/>
      <c r="AAN117" s="0"/>
      <c r="AAO117" s="0"/>
      <c r="AAP117" s="0"/>
      <c r="AAQ117" s="0"/>
      <c r="AAR117" s="0"/>
      <c r="AAS117" s="0"/>
      <c r="AAT117" s="0"/>
      <c r="AAU117" s="0"/>
      <c r="AAV117" s="0"/>
      <c r="AAW117" s="0"/>
      <c r="AAX117" s="0"/>
      <c r="AAY117" s="0"/>
      <c r="AAZ117" s="0"/>
      <c r="ABA117" s="0"/>
      <c r="ABB117" s="0"/>
      <c r="ABC117" s="0"/>
      <c r="ABD117" s="0"/>
      <c r="ABE117" s="0"/>
      <c r="ABF117" s="0"/>
      <c r="ABG117" s="0"/>
      <c r="ABH117" s="0"/>
      <c r="ABI117" s="0"/>
      <c r="ABJ117" s="0"/>
      <c r="ABK117" s="0"/>
      <c r="ABL117" s="0"/>
      <c r="ABM117" s="0"/>
      <c r="ABN117" s="0"/>
      <c r="ABO117" s="0"/>
      <c r="ABP117" s="0"/>
      <c r="ABQ117" s="0"/>
      <c r="ABR117" s="0"/>
      <c r="ABS117" s="0"/>
      <c r="ABT117" s="0"/>
      <c r="ABU117" s="0"/>
      <c r="ABV117" s="0"/>
      <c r="ABW117" s="0"/>
      <c r="ABX117" s="0"/>
      <c r="ABY117" s="0"/>
      <c r="ABZ117" s="0"/>
      <c r="ACA117" s="0"/>
      <c r="ACB117" s="0"/>
      <c r="ACC117" s="0"/>
      <c r="ACD117" s="0"/>
      <c r="ACE117" s="0"/>
      <c r="ACF117" s="0"/>
      <c r="ACG117" s="0"/>
      <c r="ACH117" s="0"/>
      <c r="ACI117" s="0"/>
      <c r="ACJ117" s="0"/>
      <c r="ACK117" s="0"/>
      <c r="ACL117" s="0"/>
      <c r="ACM117" s="0"/>
      <c r="ACN117" s="0"/>
      <c r="ACO117" s="0"/>
      <c r="ACP117" s="0"/>
      <c r="ACQ117" s="0"/>
      <c r="ACR117" s="0"/>
      <c r="ACS117" s="0"/>
      <c r="ACT117" s="0"/>
      <c r="ACU117" s="0"/>
      <c r="ACV117" s="0"/>
      <c r="ACW117" s="0"/>
      <c r="ACX117" s="0"/>
      <c r="ACY117" s="0"/>
      <c r="ACZ117" s="0"/>
      <c r="ADA117" s="0"/>
      <c r="ADB117" s="0"/>
      <c r="ADC117" s="0"/>
      <c r="ADD117" s="0"/>
      <c r="ADE117" s="0"/>
      <c r="ADF117" s="0"/>
      <c r="ADG117" s="0"/>
      <c r="ADH117" s="0"/>
      <c r="ADI117" s="0"/>
      <c r="ADJ117" s="0"/>
      <c r="ADK117" s="0"/>
      <c r="ADL117" s="0"/>
      <c r="ADM117" s="0"/>
      <c r="ADN117" s="0"/>
      <c r="ADO117" s="0"/>
      <c r="ADP117" s="0"/>
      <c r="ADQ117" s="0"/>
      <c r="ADR117" s="0"/>
      <c r="ADS117" s="0"/>
      <c r="ADT117" s="0"/>
      <c r="ADU117" s="0"/>
      <c r="ADV117" s="0"/>
      <c r="ADW117" s="0"/>
      <c r="ADX117" s="0"/>
      <c r="ADY117" s="0"/>
      <c r="ADZ117" s="0"/>
      <c r="AEA117" s="0"/>
      <c r="AEB117" s="0"/>
      <c r="AEC117" s="0"/>
      <c r="AED117" s="0"/>
      <c r="AEE117" s="0"/>
      <c r="AEF117" s="0"/>
      <c r="AEG117" s="0"/>
      <c r="AEH117" s="0"/>
      <c r="AEI117" s="0"/>
      <c r="AEJ117" s="0"/>
      <c r="AEK117" s="0"/>
      <c r="AEL117" s="0"/>
      <c r="AEM117" s="0"/>
      <c r="AEN117" s="0"/>
      <c r="AEO117" s="0"/>
      <c r="AEP117" s="0"/>
      <c r="AEQ117" s="0"/>
      <c r="AER117" s="0"/>
      <c r="AES117" s="0"/>
      <c r="AET117" s="0"/>
      <c r="AEU117" s="0"/>
      <c r="AEV117" s="0"/>
      <c r="AEW117" s="0"/>
      <c r="AEX117" s="0"/>
      <c r="AEY117" s="0"/>
      <c r="AEZ117" s="0"/>
      <c r="AFA117" s="0"/>
      <c r="AFB117" s="0"/>
      <c r="AFC117" s="0"/>
      <c r="AFD117" s="0"/>
      <c r="AFE117" s="0"/>
      <c r="AFF117" s="0"/>
      <c r="AFG117" s="0"/>
      <c r="AFH117" s="0"/>
      <c r="AFI117" s="0"/>
      <c r="AFJ117" s="0"/>
      <c r="AFK117" s="0"/>
      <c r="AFL117" s="0"/>
      <c r="AFM117" s="0"/>
      <c r="AFN117" s="0"/>
      <c r="AFO117" s="0"/>
      <c r="AFP117" s="0"/>
      <c r="AFQ117" s="0"/>
      <c r="AFR117" s="0"/>
      <c r="AFS117" s="0"/>
      <c r="AFT117" s="0"/>
      <c r="AFU117" s="0"/>
      <c r="AFV117" s="0"/>
      <c r="AFW117" s="0"/>
      <c r="AFX117" s="0"/>
      <c r="AFY117" s="0"/>
      <c r="AFZ117" s="0"/>
      <c r="AGA117" s="0"/>
      <c r="AGB117" s="0"/>
      <c r="AGC117" s="0"/>
      <c r="AGD117" s="0"/>
      <c r="AGE117" s="0"/>
      <c r="AGF117" s="0"/>
      <c r="AGG117" s="0"/>
      <c r="AGH117" s="0"/>
      <c r="AGI117" s="0"/>
      <c r="AGJ117" s="0"/>
      <c r="AGK117" s="0"/>
      <c r="AGL117" s="0"/>
      <c r="AGM117" s="0"/>
      <c r="AGN117" s="0"/>
      <c r="AGO117" s="0"/>
      <c r="AGP117" s="0"/>
      <c r="AGQ117" s="0"/>
      <c r="AGR117" s="0"/>
      <c r="AGS117" s="0"/>
      <c r="AGT117" s="0"/>
      <c r="AGU117" s="0"/>
      <c r="AGV117" s="0"/>
      <c r="AGW117" s="0"/>
      <c r="AGX117" s="0"/>
      <c r="AGY117" s="0"/>
      <c r="AGZ117" s="0"/>
      <c r="AHA117" s="0"/>
      <c r="AHB117" s="0"/>
      <c r="AHC117" s="0"/>
      <c r="AHD117" s="0"/>
      <c r="AHE117" s="0"/>
      <c r="AHF117" s="0"/>
      <c r="AHG117" s="0"/>
      <c r="AHH117" s="0"/>
      <c r="AHI117" s="0"/>
      <c r="AHJ117" s="0"/>
      <c r="AHK117" s="0"/>
      <c r="AHL117" s="0"/>
      <c r="AHM117" s="0"/>
      <c r="AHN117" s="0"/>
      <c r="AHO117" s="0"/>
      <c r="AHP117" s="0"/>
      <c r="AHQ117" s="0"/>
      <c r="AHR117" s="0"/>
      <c r="AHS117" s="0"/>
      <c r="AHT117" s="0"/>
      <c r="AHU117" s="0"/>
      <c r="AHV117" s="0"/>
      <c r="AHW117" s="0"/>
      <c r="AHX117" s="0"/>
      <c r="AHY117" s="0"/>
      <c r="AHZ117" s="0"/>
      <c r="AIA117" s="0"/>
      <c r="AIB117" s="0"/>
      <c r="AIC117" s="0"/>
      <c r="AID117" s="0"/>
      <c r="AIE117" s="0"/>
      <c r="AIF117" s="0"/>
      <c r="AIG117" s="0"/>
      <c r="AIH117" s="0"/>
      <c r="AII117" s="0"/>
      <c r="AIJ117" s="0"/>
      <c r="AIK117" s="0"/>
      <c r="AIL117" s="0"/>
      <c r="AIM117" s="0"/>
      <c r="AIN117" s="0"/>
      <c r="AIO117" s="0"/>
      <c r="AIP117" s="0"/>
      <c r="AIQ117" s="0"/>
      <c r="AIR117" s="0"/>
      <c r="AIS117" s="0"/>
      <c r="AIT117" s="0"/>
      <c r="AIU117" s="0"/>
      <c r="AIV117" s="0"/>
      <c r="AIW117" s="0"/>
      <c r="AIX117" s="0"/>
      <c r="AIY117" s="0"/>
      <c r="AIZ117" s="0"/>
      <c r="AJA117" s="0"/>
      <c r="AJB117" s="0"/>
      <c r="AJC117" s="0"/>
      <c r="AJD117" s="0"/>
      <c r="AJE117" s="0"/>
      <c r="AJF117" s="0"/>
      <c r="AJG117" s="0"/>
      <c r="AJH117" s="0"/>
      <c r="AJI117" s="0"/>
      <c r="AJJ117" s="0"/>
      <c r="AJK117" s="0"/>
      <c r="AJL117" s="0"/>
      <c r="AJM117" s="0"/>
      <c r="AJN117" s="0"/>
      <c r="AJO117" s="0"/>
      <c r="AJP117" s="0"/>
      <c r="AJQ117" s="0"/>
      <c r="AJR117" s="0"/>
      <c r="AJS117" s="0"/>
      <c r="AJT117" s="0"/>
      <c r="AJU117" s="0"/>
      <c r="AJV117" s="0"/>
      <c r="AJW117" s="0"/>
      <c r="AJX117" s="0"/>
      <c r="AJY117" s="0"/>
      <c r="AJZ117" s="0"/>
      <c r="AKA117" s="0"/>
      <c r="AKB117" s="0"/>
      <c r="AKC117" s="0"/>
      <c r="AKD117" s="0"/>
      <c r="AKE117" s="0"/>
      <c r="AKF117" s="0"/>
      <c r="AKG117" s="0"/>
      <c r="AKH117" s="0"/>
      <c r="AKI117" s="0"/>
      <c r="AKJ117" s="0"/>
      <c r="AKK117" s="0"/>
      <c r="AKL117" s="0"/>
      <c r="AKM117" s="0"/>
      <c r="AKN117" s="0"/>
      <c r="AKO117" s="0"/>
      <c r="AKP117" s="0"/>
      <c r="AKQ117" s="0"/>
      <c r="AKR117" s="0"/>
      <c r="AKS117" s="0"/>
      <c r="AKT117" s="0"/>
      <c r="AKU117" s="0"/>
      <c r="AKV117" s="0"/>
      <c r="AKW117" s="0"/>
      <c r="AKX117" s="0"/>
      <c r="AKY117" s="0"/>
      <c r="AKZ117" s="0"/>
      <c r="ALA117" s="0"/>
      <c r="ALB117" s="0"/>
      <c r="ALC117" s="0"/>
      <c r="ALD117" s="0"/>
      <c r="ALE117" s="0"/>
      <c r="ALF117" s="0"/>
      <c r="ALG117" s="0"/>
      <c r="ALH117" s="0"/>
      <c r="ALI117" s="0"/>
      <c r="ALJ117" s="0"/>
      <c r="ALK117" s="0"/>
      <c r="ALL117" s="0"/>
      <c r="ALM117" s="0"/>
      <c r="ALN117" s="0"/>
      <c r="ALO117" s="0"/>
      <c r="ALP117" s="0"/>
      <c r="ALQ117" s="0"/>
      <c r="ALR117" s="0"/>
      <c r="ALS117" s="0"/>
      <c r="ALT117" s="0"/>
      <c r="ALU117" s="0"/>
      <c r="ALV117" s="0"/>
      <c r="ALW117" s="0"/>
      <c r="ALX117" s="0"/>
      <c r="ALY117" s="0"/>
      <c r="ALZ117" s="0"/>
      <c r="AMA117" s="0"/>
      <c r="AMB117" s="0"/>
      <c r="AMC117" s="0"/>
      <c r="AMD117" s="0"/>
      <c r="AME117" s="0"/>
      <c r="AMF117" s="0"/>
      <c r="AMG117" s="0"/>
      <c r="AMH117" s="0"/>
      <c r="AMI117" s="0"/>
      <c r="AMJ117" s="0"/>
    </row>
    <row r="118" customFormat="false" ht="14.4" hidden="false" customHeight="false" outlineLevel="0" collapsed="false">
      <c r="A118" s="80" t="n">
        <f aca="false">(B118/83)*100</f>
        <v>2.1566265060241</v>
      </c>
      <c r="B118" s="14" t="n">
        <v>1.79</v>
      </c>
      <c r="C118" s="0"/>
      <c r="D118" s="14" t="n">
        <f aca="false">E118/I118</f>
        <v>0.737864077669903</v>
      </c>
      <c r="E118" s="15" t="n">
        <f aca="false">(G118+F118)/2/H118</f>
        <v>380</v>
      </c>
      <c r="F118" s="38" t="n">
        <v>360</v>
      </c>
      <c r="G118" s="17" t="n">
        <v>400</v>
      </c>
      <c r="H118" s="39" t="n">
        <v>1</v>
      </c>
      <c r="I118" s="19" t="n">
        <v>515</v>
      </c>
      <c r="J118" s="64" t="n">
        <v>0.25</v>
      </c>
      <c r="K118" s="0"/>
      <c r="M118" s="0"/>
      <c r="N118" s="19" t="n">
        <v>20</v>
      </c>
      <c r="O118" s="0"/>
      <c r="P118" s="0"/>
      <c r="Q118" s="19" t="n">
        <f aca="false">M118*N118</f>
        <v>0</v>
      </c>
      <c r="R118" s="21" t="n">
        <f aca="false">A118*N118</f>
        <v>43.1325301204819</v>
      </c>
      <c r="S118" s="0"/>
      <c r="T118" s="22" t="n">
        <f aca="false">(G118-F118)/H118/E118</f>
        <v>0.105263157894737</v>
      </c>
      <c r="U118" s="0"/>
      <c r="V118" s="0"/>
      <c r="W118" s="0"/>
      <c r="X118" s="0"/>
      <c r="Y118" s="0"/>
      <c r="Z118" s="40" t="s">
        <v>182</v>
      </c>
      <c r="AA118" s="19" t="s">
        <v>183</v>
      </c>
      <c r="AB118" s="41" t="n">
        <v>2013</v>
      </c>
      <c r="AC118" s="84" t="s">
        <v>184</v>
      </c>
      <c r="AD118" s="0"/>
      <c r="AE118" s="19" t="n">
        <v>270.5</v>
      </c>
      <c r="AF118" s="0"/>
      <c r="AG118" s="0"/>
      <c r="AH118" s="0"/>
      <c r="AI118" s="0"/>
      <c r="AJ118" s="0"/>
      <c r="AK118" s="66" t="n">
        <f aca="false">1070/J118*1000000000000</f>
        <v>4280000000000000</v>
      </c>
      <c r="AL118" s="85" t="s">
        <v>185</v>
      </c>
      <c r="AM118" s="19" t="s">
        <v>116</v>
      </c>
      <c r="AN118" s="0"/>
      <c r="AO118" s="0"/>
      <c r="AP118" s="0"/>
      <c r="AQ118" s="26" t="n">
        <v>8.4</v>
      </c>
      <c r="AR118" s="26" t="n">
        <v>8.4</v>
      </c>
      <c r="AS118" s="26" t="n">
        <v>8.4</v>
      </c>
      <c r="AT118" s="0"/>
      <c r="AU118" s="19" t="n">
        <v>0</v>
      </c>
      <c r="AV118" s="0"/>
      <c r="AW118" s="19" t="s">
        <v>117</v>
      </c>
      <c r="AX118" s="69" t="n">
        <v>0</v>
      </c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/>
      <c r="YV118" s="0"/>
      <c r="YW118" s="0"/>
      <c r="YX118" s="0"/>
      <c r="YY118" s="0"/>
      <c r="YZ118" s="0"/>
      <c r="ZA118" s="0"/>
      <c r="ZB118" s="0"/>
      <c r="ZC118" s="0"/>
      <c r="ZD118" s="0"/>
      <c r="ZE118" s="0"/>
      <c r="ZF118" s="0"/>
      <c r="ZG118" s="0"/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/>
      <c r="AAM118" s="0"/>
      <c r="AAN118" s="0"/>
      <c r="AAO118" s="0"/>
      <c r="AAP118" s="0"/>
      <c r="AAQ118" s="0"/>
      <c r="AAR118" s="0"/>
      <c r="AAS118" s="0"/>
      <c r="AAT118" s="0"/>
      <c r="AAU118" s="0"/>
      <c r="AAV118" s="0"/>
      <c r="AAW118" s="0"/>
      <c r="AAX118" s="0"/>
      <c r="AAY118" s="0"/>
      <c r="AAZ118" s="0"/>
      <c r="ABA118" s="0"/>
      <c r="ABB118" s="0"/>
      <c r="ABC118" s="0"/>
      <c r="ABD118" s="0"/>
      <c r="ABE118" s="0"/>
      <c r="ABF118" s="0"/>
      <c r="ABG118" s="0"/>
      <c r="ABH118" s="0"/>
      <c r="ABI118" s="0"/>
      <c r="ABJ118" s="0"/>
      <c r="ABK118" s="0"/>
      <c r="ABL118" s="0"/>
      <c r="ABM118" s="0"/>
      <c r="ABN118" s="0"/>
      <c r="ABO118" s="0"/>
      <c r="ABP118" s="0"/>
      <c r="ABQ118" s="0"/>
      <c r="ABR118" s="0"/>
      <c r="ABS118" s="0"/>
      <c r="ABT118" s="0"/>
      <c r="ABU118" s="0"/>
      <c r="ABV118" s="0"/>
      <c r="ABW118" s="0"/>
      <c r="ABX118" s="0"/>
      <c r="ABY118" s="0"/>
      <c r="ABZ118" s="0"/>
      <c r="ACA118" s="0"/>
      <c r="ACB118" s="0"/>
      <c r="ACC118" s="0"/>
      <c r="ACD118" s="0"/>
      <c r="ACE118" s="0"/>
      <c r="ACF118" s="0"/>
      <c r="ACG118" s="0"/>
      <c r="ACH118" s="0"/>
      <c r="ACI118" s="0"/>
      <c r="ACJ118" s="0"/>
      <c r="ACK118" s="0"/>
      <c r="ACL118" s="0"/>
      <c r="ACM118" s="0"/>
      <c r="ACN118" s="0"/>
      <c r="ACO118" s="0"/>
      <c r="ACP118" s="0"/>
      <c r="ACQ118" s="0"/>
      <c r="ACR118" s="0"/>
      <c r="ACS118" s="0"/>
      <c r="ACT118" s="0"/>
      <c r="ACU118" s="0"/>
      <c r="ACV118" s="0"/>
      <c r="ACW118" s="0"/>
      <c r="ACX118" s="0"/>
      <c r="ACY118" s="0"/>
      <c r="ACZ118" s="0"/>
      <c r="ADA118" s="0"/>
      <c r="ADB118" s="0"/>
      <c r="ADC118" s="0"/>
      <c r="ADD118" s="0"/>
      <c r="ADE118" s="0"/>
      <c r="ADF118" s="0"/>
      <c r="ADG118" s="0"/>
      <c r="ADH118" s="0"/>
      <c r="ADI118" s="0"/>
      <c r="ADJ118" s="0"/>
      <c r="ADK118" s="0"/>
      <c r="ADL118" s="0"/>
      <c r="ADM118" s="0"/>
      <c r="ADN118" s="0"/>
      <c r="ADO118" s="0"/>
      <c r="ADP118" s="0"/>
      <c r="ADQ118" s="0"/>
      <c r="ADR118" s="0"/>
      <c r="ADS118" s="0"/>
      <c r="ADT118" s="0"/>
      <c r="ADU118" s="0"/>
      <c r="ADV118" s="0"/>
      <c r="ADW118" s="0"/>
      <c r="ADX118" s="0"/>
      <c r="ADY118" s="0"/>
      <c r="ADZ118" s="0"/>
      <c r="AEA118" s="0"/>
      <c r="AEB118" s="0"/>
      <c r="AEC118" s="0"/>
      <c r="AED118" s="0"/>
      <c r="AEE118" s="0"/>
      <c r="AEF118" s="0"/>
      <c r="AEG118" s="0"/>
      <c r="AEH118" s="0"/>
      <c r="AEI118" s="0"/>
      <c r="AEJ118" s="0"/>
      <c r="AEK118" s="0"/>
      <c r="AEL118" s="0"/>
      <c r="AEM118" s="0"/>
      <c r="AEN118" s="0"/>
      <c r="AEO118" s="0"/>
      <c r="AEP118" s="0"/>
      <c r="AEQ118" s="0"/>
      <c r="AER118" s="0"/>
      <c r="AES118" s="0"/>
      <c r="AET118" s="0"/>
      <c r="AEU118" s="0"/>
      <c r="AEV118" s="0"/>
      <c r="AEW118" s="0"/>
      <c r="AEX118" s="0"/>
      <c r="AEY118" s="0"/>
      <c r="AEZ118" s="0"/>
      <c r="AFA118" s="0"/>
      <c r="AFB118" s="0"/>
      <c r="AFC118" s="0"/>
      <c r="AFD118" s="0"/>
      <c r="AFE118" s="0"/>
      <c r="AFF118" s="0"/>
      <c r="AFG118" s="0"/>
      <c r="AFH118" s="0"/>
      <c r="AFI118" s="0"/>
      <c r="AFJ118" s="0"/>
      <c r="AFK118" s="0"/>
      <c r="AFL118" s="0"/>
      <c r="AFM118" s="0"/>
      <c r="AFN118" s="0"/>
      <c r="AFO118" s="0"/>
      <c r="AFP118" s="0"/>
      <c r="AFQ118" s="0"/>
      <c r="AFR118" s="0"/>
      <c r="AFS118" s="0"/>
      <c r="AFT118" s="0"/>
      <c r="AFU118" s="0"/>
      <c r="AFV118" s="0"/>
      <c r="AFW118" s="0"/>
      <c r="AFX118" s="0"/>
      <c r="AFY118" s="0"/>
      <c r="AFZ118" s="0"/>
      <c r="AGA118" s="0"/>
      <c r="AGB118" s="0"/>
      <c r="AGC118" s="0"/>
      <c r="AGD118" s="0"/>
      <c r="AGE118" s="0"/>
      <c r="AGF118" s="0"/>
      <c r="AGG118" s="0"/>
      <c r="AGH118" s="0"/>
      <c r="AGI118" s="0"/>
      <c r="AGJ118" s="0"/>
      <c r="AGK118" s="0"/>
      <c r="AGL118" s="0"/>
      <c r="AGM118" s="0"/>
      <c r="AGN118" s="0"/>
      <c r="AGO118" s="0"/>
      <c r="AGP118" s="0"/>
      <c r="AGQ118" s="0"/>
      <c r="AGR118" s="0"/>
      <c r="AGS118" s="0"/>
      <c r="AGT118" s="0"/>
      <c r="AGU118" s="0"/>
      <c r="AGV118" s="0"/>
      <c r="AGW118" s="0"/>
      <c r="AGX118" s="0"/>
      <c r="AGY118" s="0"/>
      <c r="AGZ118" s="0"/>
      <c r="AHA118" s="0"/>
      <c r="AHB118" s="0"/>
      <c r="AHC118" s="0"/>
      <c r="AHD118" s="0"/>
      <c r="AHE118" s="0"/>
      <c r="AHF118" s="0"/>
      <c r="AHG118" s="0"/>
      <c r="AHH118" s="0"/>
      <c r="AHI118" s="0"/>
      <c r="AHJ118" s="0"/>
      <c r="AHK118" s="0"/>
      <c r="AHL118" s="0"/>
      <c r="AHM118" s="0"/>
      <c r="AHN118" s="0"/>
      <c r="AHO118" s="0"/>
      <c r="AHP118" s="0"/>
      <c r="AHQ118" s="0"/>
      <c r="AHR118" s="0"/>
      <c r="AHS118" s="0"/>
      <c r="AHT118" s="0"/>
      <c r="AHU118" s="0"/>
      <c r="AHV118" s="0"/>
      <c r="AHW118" s="0"/>
      <c r="AHX118" s="0"/>
      <c r="AHY118" s="0"/>
      <c r="AHZ118" s="0"/>
      <c r="AIA118" s="0"/>
      <c r="AIB118" s="0"/>
      <c r="AIC118" s="0"/>
      <c r="AID118" s="0"/>
      <c r="AIE118" s="0"/>
      <c r="AIF118" s="0"/>
      <c r="AIG118" s="0"/>
      <c r="AIH118" s="0"/>
      <c r="AII118" s="0"/>
      <c r="AIJ118" s="0"/>
      <c r="AIK118" s="0"/>
      <c r="AIL118" s="0"/>
      <c r="AIM118" s="0"/>
      <c r="AIN118" s="0"/>
      <c r="AIO118" s="0"/>
      <c r="AIP118" s="0"/>
      <c r="AIQ118" s="0"/>
      <c r="AIR118" s="0"/>
      <c r="AIS118" s="0"/>
      <c r="AIT118" s="0"/>
      <c r="AIU118" s="0"/>
      <c r="AIV118" s="0"/>
      <c r="AIW118" s="0"/>
      <c r="AIX118" s="0"/>
      <c r="AIY118" s="0"/>
      <c r="AIZ118" s="0"/>
      <c r="AJA118" s="0"/>
      <c r="AJB118" s="0"/>
      <c r="AJC118" s="0"/>
      <c r="AJD118" s="0"/>
      <c r="AJE118" s="0"/>
      <c r="AJF118" s="0"/>
      <c r="AJG118" s="0"/>
      <c r="AJH118" s="0"/>
      <c r="AJI118" s="0"/>
      <c r="AJJ118" s="0"/>
      <c r="AJK118" s="0"/>
      <c r="AJL118" s="0"/>
      <c r="AJM118" s="0"/>
      <c r="AJN118" s="0"/>
      <c r="AJO118" s="0"/>
      <c r="AJP118" s="0"/>
      <c r="AJQ118" s="0"/>
      <c r="AJR118" s="0"/>
      <c r="AJS118" s="0"/>
      <c r="AJT118" s="0"/>
      <c r="AJU118" s="0"/>
      <c r="AJV118" s="0"/>
      <c r="AJW118" s="0"/>
      <c r="AJX118" s="0"/>
      <c r="AJY118" s="0"/>
      <c r="AJZ118" s="0"/>
      <c r="AKA118" s="0"/>
      <c r="AKB118" s="0"/>
      <c r="AKC118" s="0"/>
      <c r="AKD118" s="0"/>
      <c r="AKE118" s="0"/>
      <c r="AKF118" s="0"/>
      <c r="AKG118" s="0"/>
      <c r="AKH118" s="0"/>
      <c r="AKI118" s="0"/>
      <c r="AKJ118" s="0"/>
      <c r="AKK118" s="0"/>
      <c r="AKL118" s="0"/>
      <c r="AKM118" s="0"/>
      <c r="AKN118" s="0"/>
      <c r="AKO118" s="0"/>
      <c r="AKP118" s="0"/>
      <c r="AKQ118" s="0"/>
      <c r="AKR118" s="0"/>
      <c r="AKS118" s="0"/>
      <c r="AKT118" s="0"/>
      <c r="AKU118" s="0"/>
      <c r="AKV118" s="0"/>
      <c r="AKW118" s="0"/>
      <c r="AKX118" s="0"/>
      <c r="AKY118" s="0"/>
      <c r="AKZ118" s="0"/>
      <c r="ALA118" s="0"/>
      <c r="ALB118" s="0"/>
      <c r="ALC118" s="0"/>
      <c r="ALD118" s="0"/>
      <c r="ALE118" s="0"/>
      <c r="ALF118" s="0"/>
      <c r="ALG118" s="0"/>
      <c r="ALH118" s="0"/>
      <c r="ALI118" s="0"/>
      <c r="ALJ118" s="0"/>
      <c r="ALK118" s="0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</row>
    <row r="119" customFormat="false" ht="14.4" hidden="false" customHeight="false" outlineLevel="0" collapsed="false">
      <c r="A119" s="80" t="n">
        <f aca="false">(B119/83)*100</f>
        <v>2.69879518072289</v>
      </c>
      <c r="B119" s="14" t="n">
        <v>2.24</v>
      </c>
      <c r="C119" s="0"/>
      <c r="D119" s="14" t="n">
        <f aca="false">E119/I119</f>
        <v>0.650485436893204</v>
      </c>
      <c r="E119" s="15" t="n">
        <f aca="false">(G119+F119)/2/H119</f>
        <v>335</v>
      </c>
      <c r="F119" s="38" t="n">
        <v>320</v>
      </c>
      <c r="G119" s="17" t="n">
        <v>350</v>
      </c>
      <c r="H119" s="39" t="n">
        <v>1</v>
      </c>
      <c r="I119" s="19" t="n">
        <v>515</v>
      </c>
      <c r="J119" s="64" t="n">
        <v>0.25</v>
      </c>
      <c r="K119" s="0"/>
      <c r="M119" s="0"/>
      <c r="N119" s="19" t="n">
        <v>20</v>
      </c>
      <c r="O119" s="0"/>
      <c r="P119" s="0"/>
      <c r="Q119" s="19" t="n">
        <f aca="false">M119*N119</f>
        <v>0</v>
      </c>
      <c r="R119" s="21" t="n">
        <f aca="false">A119*N119</f>
        <v>53.9759036144578</v>
      </c>
      <c r="S119" s="0"/>
      <c r="T119" s="22" t="n">
        <f aca="false">(G119-F119)/H119/E119</f>
        <v>0.0895522388059701</v>
      </c>
      <c r="U119" s="0"/>
      <c r="V119" s="0"/>
      <c r="W119" s="0"/>
      <c r="X119" s="0"/>
      <c r="Y119" s="0"/>
      <c r="Z119" s="40" t="s">
        <v>182</v>
      </c>
      <c r="AA119" s="19" t="s">
        <v>183</v>
      </c>
      <c r="AB119" s="41" t="n">
        <v>2013</v>
      </c>
      <c r="AC119" s="84" t="s">
        <v>184</v>
      </c>
      <c r="AD119" s="0"/>
      <c r="AE119" s="19" t="n">
        <v>270.5</v>
      </c>
      <c r="AF119" s="0"/>
      <c r="AG119" s="0"/>
      <c r="AH119" s="0"/>
      <c r="AI119" s="0"/>
      <c r="AJ119" s="0"/>
      <c r="AK119" s="66" t="n">
        <f aca="false">1070/J119*1000000000000</f>
        <v>4280000000000000</v>
      </c>
      <c r="AL119" s="85" t="s">
        <v>185</v>
      </c>
      <c r="AM119" s="19" t="s">
        <v>116</v>
      </c>
      <c r="AN119" s="0"/>
      <c r="AO119" s="0"/>
      <c r="AP119" s="0"/>
      <c r="AQ119" s="26" t="n">
        <v>8.4</v>
      </c>
      <c r="AR119" s="26" t="n">
        <v>8.4</v>
      </c>
      <c r="AS119" s="26" t="n">
        <v>8.4</v>
      </c>
      <c r="AT119" s="0"/>
      <c r="AU119" s="19" t="n">
        <v>0</v>
      </c>
      <c r="AV119" s="0"/>
      <c r="AW119" s="19" t="s">
        <v>117</v>
      </c>
      <c r="AX119" s="69" t="n">
        <v>0</v>
      </c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/>
      <c r="YV119" s="0"/>
      <c r="YW119" s="0"/>
      <c r="YX119" s="0"/>
      <c r="YY119" s="0"/>
      <c r="YZ119" s="0"/>
      <c r="ZA119" s="0"/>
      <c r="ZB119" s="0"/>
      <c r="ZC119" s="0"/>
      <c r="ZD119" s="0"/>
      <c r="ZE119" s="0"/>
      <c r="ZF119" s="0"/>
      <c r="ZG119" s="0"/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/>
      <c r="AAM119" s="0"/>
      <c r="AAN119" s="0"/>
      <c r="AAO119" s="0"/>
      <c r="AAP119" s="0"/>
      <c r="AAQ119" s="0"/>
      <c r="AAR119" s="0"/>
      <c r="AAS119" s="0"/>
      <c r="AAT119" s="0"/>
      <c r="AAU119" s="0"/>
      <c r="AAV119" s="0"/>
      <c r="AAW119" s="0"/>
      <c r="AAX119" s="0"/>
      <c r="AAY119" s="0"/>
      <c r="AAZ119" s="0"/>
      <c r="ABA119" s="0"/>
      <c r="ABB119" s="0"/>
      <c r="ABC119" s="0"/>
      <c r="ABD119" s="0"/>
      <c r="ABE119" s="0"/>
      <c r="ABF119" s="0"/>
      <c r="ABG119" s="0"/>
      <c r="ABH119" s="0"/>
      <c r="ABI119" s="0"/>
      <c r="ABJ119" s="0"/>
      <c r="ABK119" s="0"/>
      <c r="ABL119" s="0"/>
      <c r="ABM119" s="0"/>
      <c r="ABN119" s="0"/>
      <c r="ABO119" s="0"/>
      <c r="ABP119" s="0"/>
      <c r="ABQ119" s="0"/>
      <c r="ABR119" s="0"/>
      <c r="ABS119" s="0"/>
      <c r="ABT119" s="0"/>
      <c r="ABU119" s="0"/>
      <c r="ABV119" s="0"/>
      <c r="ABW119" s="0"/>
      <c r="ABX119" s="0"/>
      <c r="ABY119" s="0"/>
      <c r="ABZ119" s="0"/>
      <c r="ACA119" s="0"/>
      <c r="ACB119" s="0"/>
      <c r="ACC119" s="0"/>
      <c r="ACD119" s="0"/>
      <c r="ACE119" s="0"/>
      <c r="ACF119" s="0"/>
      <c r="ACG119" s="0"/>
      <c r="ACH119" s="0"/>
      <c r="ACI119" s="0"/>
      <c r="ACJ119" s="0"/>
      <c r="ACK119" s="0"/>
      <c r="ACL119" s="0"/>
      <c r="ACM119" s="0"/>
      <c r="ACN119" s="0"/>
      <c r="ACO119" s="0"/>
      <c r="ACP119" s="0"/>
      <c r="ACQ119" s="0"/>
      <c r="ACR119" s="0"/>
      <c r="ACS119" s="0"/>
      <c r="ACT119" s="0"/>
      <c r="ACU119" s="0"/>
      <c r="ACV119" s="0"/>
      <c r="ACW119" s="0"/>
      <c r="ACX119" s="0"/>
      <c r="ACY119" s="0"/>
      <c r="ACZ119" s="0"/>
      <c r="ADA119" s="0"/>
      <c r="ADB119" s="0"/>
      <c r="ADC119" s="0"/>
      <c r="ADD119" s="0"/>
      <c r="ADE119" s="0"/>
      <c r="ADF119" s="0"/>
      <c r="ADG119" s="0"/>
      <c r="ADH119" s="0"/>
      <c r="ADI119" s="0"/>
      <c r="ADJ119" s="0"/>
      <c r="ADK119" s="0"/>
      <c r="ADL119" s="0"/>
      <c r="ADM119" s="0"/>
      <c r="ADN119" s="0"/>
      <c r="ADO119" s="0"/>
      <c r="ADP119" s="0"/>
      <c r="ADQ119" s="0"/>
      <c r="ADR119" s="0"/>
      <c r="ADS119" s="0"/>
      <c r="ADT119" s="0"/>
      <c r="ADU119" s="0"/>
      <c r="ADV119" s="0"/>
      <c r="ADW119" s="0"/>
      <c r="ADX119" s="0"/>
      <c r="ADY119" s="0"/>
      <c r="ADZ119" s="0"/>
      <c r="AEA119" s="0"/>
      <c r="AEB119" s="0"/>
      <c r="AEC119" s="0"/>
      <c r="AED119" s="0"/>
      <c r="AEE119" s="0"/>
      <c r="AEF119" s="0"/>
      <c r="AEG119" s="0"/>
      <c r="AEH119" s="0"/>
      <c r="AEI119" s="0"/>
      <c r="AEJ119" s="0"/>
      <c r="AEK119" s="0"/>
      <c r="AEL119" s="0"/>
      <c r="AEM119" s="0"/>
      <c r="AEN119" s="0"/>
      <c r="AEO119" s="0"/>
      <c r="AEP119" s="0"/>
      <c r="AEQ119" s="0"/>
      <c r="AER119" s="0"/>
      <c r="AES119" s="0"/>
      <c r="AET119" s="0"/>
      <c r="AEU119" s="0"/>
      <c r="AEV119" s="0"/>
      <c r="AEW119" s="0"/>
      <c r="AEX119" s="0"/>
      <c r="AEY119" s="0"/>
      <c r="AEZ119" s="0"/>
      <c r="AFA119" s="0"/>
      <c r="AFB119" s="0"/>
      <c r="AFC119" s="0"/>
      <c r="AFD119" s="0"/>
      <c r="AFE119" s="0"/>
      <c r="AFF119" s="0"/>
      <c r="AFG119" s="0"/>
      <c r="AFH119" s="0"/>
      <c r="AFI119" s="0"/>
      <c r="AFJ119" s="0"/>
      <c r="AFK119" s="0"/>
      <c r="AFL119" s="0"/>
      <c r="AFM119" s="0"/>
      <c r="AFN119" s="0"/>
      <c r="AFO119" s="0"/>
      <c r="AFP119" s="0"/>
      <c r="AFQ119" s="0"/>
      <c r="AFR119" s="0"/>
      <c r="AFS119" s="0"/>
      <c r="AFT119" s="0"/>
      <c r="AFU119" s="0"/>
      <c r="AFV119" s="0"/>
      <c r="AFW119" s="0"/>
      <c r="AFX119" s="0"/>
      <c r="AFY119" s="0"/>
      <c r="AFZ119" s="0"/>
      <c r="AGA119" s="0"/>
      <c r="AGB119" s="0"/>
      <c r="AGC119" s="0"/>
      <c r="AGD119" s="0"/>
      <c r="AGE119" s="0"/>
      <c r="AGF119" s="0"/>
      <c r="AGG119" s="0"/>
      <c r="AGH119" s="0"/>
      <c r="AGI119" s="0"/>
      <c r="AGJ119" s="0"/>
      <c r="AGK119" s="0"/>
      <c r="AGL119" s="0"/>
      <c r="AGM119" s="0"/>
      <c r="AGN119" s="0"/>
      <c r="AGO119" s="0"/>
      <c r="AGP119" s="0"/>
      <c r="AGQ119" s="0"/>
      <c r="AGR119" s="0"/>
      <c r="AGS119" s="0"/>
      <c r="AGT119" s="0"/>
      <c r="AGU119" s="0"/>
      <c r="AGV119" s="0"/>
      <c r="AGW119" s="0"/>
      <c r="AGX119" s="0"/>
      <c r="AGY119" s="0"/>
      <c r="AGZ119" s="0"/>
      <c r="AHA119" s="0"/>
      <c r="AHB119" s="0"/>
      <c r="AHC119" s="0"/>
      <c r="AHD119" s="0"/>
      <c r="AHE119" s="0"/>
      <c r="AHF119" s="0"/>
      <c r="AHG119" s="0"/>
      <c r="AHH119" s="0"/>
      <c r="AHI119" s="0"/>
      <c r="AHJ119" s="0"/>
      <c r="AHK119" s="0"/>
      <c r="AHL119" s="0"/>
      <c r="AHM119" s="0"/>
      <c r="AHN119" s="0"/>
      <c r="AHO119" s="0"/>
      <c r="AHP119" s="0"/>
      <c r="AHQ119" s="0"/>
      <c r="AHR119" s="0"/>
      <c r="AHS119" s="0"/>
      <c r="AHT119" s="0"/>
      <c r="AHU119" s="0"/>
      <c r="AHV119" s="0"/>
      <c r="AHW119" s="0"/>
      <c r="AHX119" s="0"/>
      <c r="AHY119" s="0"/>
      <c r="AHZ119" s="0"/>
      <c r="AIA119" s="0"/>
      <c r="AIB119" s="0"/>
      <c r="AIC119" s="0"/>
      <c r="AID119" s="0"/>
      <c r="AIE119" s="0"/>
      <c r="AIF119" s="0"/>
      <c r="AIG119" s="0"/>
      <c r="AIH119" s="0"/>
      <c r="AII119" s="0"/>
      <c r="AIJ119" s="0"/>
      <c r="AIK119" s="0"/>
      <c r="AIL119" s="0"/>
      <c r="AIM119" s="0"/>
      <c r="AIN119" s="0"/>
      <c r="AIO119" s="0"/>
      <c r="AIP119" s="0"/>
      <c r="AIQ119" s="0"/>
      <c r="AIR119" s="0"/>
      <c r="AIS119" s="0"/>
      <c r="AIT119" s="0"/>
      <c r="AIU119" s="0"/>
      <c r="AIV119" s="0"/>
      <c r="AIW119" s="0"/>
      <c r="AIX119" s="0"/>
      <c r="AIY119" s="0"/>
      <c r="AIZ119" s="0"/>
      <c r="AJA119" s="0"/>
      <c r="AJB119" s="0"/>
      <c r="AJC119" s="0"/>
      <c r="AJD119" s="0"/>
      <c r="AJE119" s="0"/>
      <c r="AJF119" s="0"/>
      <c r="AJG119" s="0"/>
      <c r="AJH119" s="0"/>
      <c r="AJI119" s="0"/>
      <c r="AJJ119" s="0"/>
      <c r="AJK119" s="0"/>
      <c r="AJL119" s="0"/>
      <c r="AJM119" s="0"/>
      <c r="AJN119" s="0"/>
      <c r="AJO119" s="0"/>
      <c r="AJP119" s="0"/>
      <c r="AJQ119" s="0"/>
      <c r="AJR119" s="0"/>
      <c r="AJS119" s="0"/>
      <c r="AJT119" s="0"/>
      <c r="AJU119" s="0"/>
      <c r="AJV119" s="0"/>
      <c r="AJW119" s="0"/>
      <c r="AJX119" s="0"/>
      <c r="AJY119" s="0"/>
      <c r="AJZ119" s="0"/>
      <c r="AKA119" s="0"/>
      <c r="AKB119" s="0"/>
      <c r="AKC119" s="0"/>
      <c r="AKD119" s="0"/>
      <c r="AKE119" s="0"/>
      <c r="AKF119" s="0"/>
      <c r="AKG119" s="0"/>
      <c r="AKH119" s="0"/>
      <c r="AKI119" s="0"/>
      <c r="AKJ119" s="0"/>
      <c r="AKK119" s="0"/>
      <c r="AKL119" s="0"/>
      <c r="AKM119" s="0"/>
      <c r="AKN119" s="0"/>
      <c r="AKO119" s="0"/>
      <c r="AKP119" s="0"/>
      <c r="AKQ119" s="0"/>
      <c r="AKR119" s="0"/>
      <c r="AKS119" s="0"/>
      <c r="AKT119" s="0"/>
      <c r="AKU119" s="0"/>
      <c r="AKV119" s="0"/>
      <c r="AKW119" s="0"/>
      <c r="AKX119" s="0"/>
      <c r="AKY119" s="0"/>
      <c r="AKZ119" s="0"/>
      <c r="ALA119" s="0"/>
      <c r="ALB119" s="0"/>
      <c r="ALC119" s="0"/>
      <c r="ALD119" s="0"/>
      <c r="ALE119" s="0"/>
      <c r="ALF119" s="0"/>
      <c r="ALG119" s="0"/>
      <c r="ALH119" s="0"/>
      <c r="ALI119" s="0"/>
      <c r="ALJ119" s="0"/>
      <c r="ALK119" s="0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</row>
    <row r="120" customFormat="false" ht="14.4" hidden="false" customHeight="false" outlineLevel="0" collapsed="false">
      <c r="A120" s="80" t="n">
        <f aca="false">(B120/83)*100</f>
        <v>2.69879518072289</v>
      </c>
      <c r="B120" s="14" t="n">
        <v>2.24</v>
      </c>
      <c r="C120" s="0"/>
      <c r="D120" s="14" t="n">
        <f aca="false">E120/I120</f>
        <v>0.83495145631068</v>
      </c>
      <c r="E120" s="15" t="n">
        <f aca="false">(G120+F120)/2/H120</f>
        <v>430</v>
      </c>
      <c r="F120" s="38" t="n">
        <v>390</v>
      </c>
      <c r="G120" s="17" t="n">
        <v>470</v>
      </c>
      <c r="H120" s="39" t="n">
        <v>1</v>
      </c>
      <c r="I120" s="19" t="n">
        <v>515</v>
      </c>
      <c r="J120" s="64" t="n">
        <v>0.25</v>
      </c>
      <c r="K120" s="0"/>
      <c r="M120" s="0"/>
      <c r="N120" s="19" t="n">
        <v>20</v>
      </c>
      <c r="O120" s="0"/>
      <c r="P120" s="0"/>
      <c r="Q120" s="19" t="n">
        <f aca="false">M120*N120</f>
        <v>0</v>
      </c>
      <c r="R120" s="21" t="n">
        <f aca="false">A120*N120</f>
        <v>53.9759036144578</v>
      </c>
      <c r="S120" s="0"/>
      <c r="T120" s="22" t="n">
        <f aca="false">(G120-F120)/H120/E120</f>
        <v>0.186046511627907</v>
      </c>
      <c r="U120" s="0"/>
      <c r="V120" s="0"/>
      <c r="W120" s="0"/>
      <c r="X120" s="0"/>
      <c r="Y120" s="0"/>
      <c r="Z120" s="40" t="s">
        <v>182</v>
      </c>
      <c r="AA120" s="19" t="s">
        <v>183</v>
      </c>
      <c r="AB120" s="41" t="n">
        <v>2013</v>
      </c>
      <c r="AC120" s="84" t="s">
        <v>184</v>
      </c>
      <c r="AD120" s="0"/>
      <c r="AE120" s="19" t="n">
        <v>270.5</v>
      </c>
      <c r="AF120" s="0"/>
      <c r="AG120" s="0"/>
      <c r="AH120" s="0"/>
      <c r="AI120" s="0"/>
      <c r="AJ120" s="0"/>
      <c r="AK120" s="66" t="n">
        <f aca="false">1070/J120*1000000000000</f>
        <v>4280000000000000</v>
      </c>
      <c r="AL120" s="85" t="s">
        <v>185</v>
      </c>
      <c r="AM120" s="19" t="s">
        <v>116</v>
      </c>
      <c r="AN120" s="0"/>
      <c r="AO120" s="0"/>
      <c r="AP120" s="0"/>
      <c r="AQ120" s="26" t="n">
        <v>8.4</v>
      </c>
      <c r="AR120" s="26" t="n">
        <v>8.4</v>
      </c>
      <c r="AS120" s="26" t="n">
        <v>8.4</v>
      </c>
      <c r="AT120" s="0"/>
      <c r="AU120" s="19" t="n">
        <v>0</v>
      </c>
      <c r="AV120" s="0"/>
      <c r="AW120" s="19" t="s">
        <v>117</v>
      </c>
      <c r="AX120" s="69" t="n">
        <v>0</v>
      </c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/>
      <c r="YV120" s="0"/>
      <c r="YW120" s="0"/>
      <c r="YX120" s="0"/>
      <c r="YY120" s="0"/>
      <c r="YZ120" s="0"/>
      <c r="ZA120" s="0"/>
      <c r="ZB120" s="0"/>
      <c r="ZC120" s="0"/>
      <c r="ZD120" s="0"/>
      <c r="ZE120" s="0"/>
      <c r="ZF120" s="0"/>
      <c r="ZG120" s="0"/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/>
      <c r="AAM120" s="0"/>
      <c r="AAN120" s="0"/>
      <c r="AAO120" s="0"/>
      <c r="AAP120" s="0"/>
      <c r="AAQ120" s="0"/>
      <c r="AAR120" s="0"/>
      <c r="AAS120" s="0"/>
      <c r="AAT120" s="0"/>
      <c r="AAU120" s="0"/>
      <c r="AAV120" s="0"/>
      <c r="AAW120" s="0"/>
      <c r="AAX120" s="0"/>
      <c r="AAY120" s="0"/>
      <c r="AAZ120" s="0"/>
      <c r="ABA120" s="0"/>
      <c r="ABB120" s="0"/>
      <c r="ABC120" s="0"/>
      <c r="ABD120" s="0"/>
      <c r="ABE120" s="0"/>
      <c r="ABF120" s="0"/>
      <c r="ABG120" s="0"/>
      <c r="ABH120" s="0"/>
      <c r="ABI120" s="0"/>
      <c r="ABJ120" s="0"/>
      <c r="ABK120" s="0"/>
      <c r="ABL120" s="0"/>
      <c r="ABM120" s="0"/>
      <c r="ABN120" s="0"/>
      <c r="ABO120" s="0"/>
      <c r="ABP120" s="0"/>
      <c r="ABQ120" s="0"/>
      <c r="ABR120" s="0"/>
      <c r="ABS120" s="0"/>
      <c r="ABT120" s="0"/>
      <c r="ABU120" s="0"/>
      <c r="ABV120" s="0"/>
      <c r="ABW120" s="0"/>
      <c r="ABX120" s="0"/>
      <c r="ABY120" s="0"/>
      <c r="ABZ120" s="0"/>
      <c r="ACA120" s="0"/>
      <c r="ACB120" s="0"/>
      <c r="ACC120" s="0"/>
      <c r="ACD120" s="0"/>
      <c r="ACE120" s="0"/>
      <c r="ACF120" s="0"/>
      <c r="ACG120" s="0"/>
      <c r="ACH120" s="0"/>
      <c r="ACI120" s="0"/>
      <c r="ACJ120" s="0"/>
      <c r="ACK120" s="0"/>
      <c r="ACL120" s="0"/>
      <c r="ACM120" s="0"/>
      <c r="ACN120" s="0"/>
      <c r="ACO120" s="0"/>
      <c r="ACP120" s="0"/>
      <c r="ACQ120" s="0"/>
      <c r="ACR120" s="0"/>
      <c r="ACS120" s="0"/>
      <c r="ACT120" s="0"/>
      <c r="ACU120" s="0"/>
      <c r="ACV120" s="0"/>
      <c r="ACW120" s="0"/>
      <c r="ACX120" s="0"/>
      <c r="ACY120" s="0"/>
      <c r="ACZ120" s="0"/>
      <c r="ADA120" s="0"/>
      <c r="ADB120" s="0"/>
      <c r="ADC120" s="0"/>
      <c r="ADD120" s="0"/>
      <c r="ADE120" s="0"/>
      <c r="ADF120" s="0"/>
      <c r="ADG120" s="0"/>
      <c r="ADH120" s="0"/>
      <c r="ADI120" s="0"/>
      <c r="ADJ120" s="0"/>
      <c r="ADK120" s="0"/>
      <c r="ADL120" s="0"/>
      <c r="ADM120" s="0"/>
      <c r="ADN120" s="0"/>
      <c r="ADO120" s="0"/>
      <c r="ADP120" s="0"/>
      <c r="ADQ120" s="0"/>
      <c r="ADR120" s="0"/>
      <c r="ADS120" s="0"/>
      <c r="ADT120" s="0"/>
      <c r="ADU120" s="0"/>
      <c r="ADV120" s="0"/>
      <c r="ADW120" s="0"/>
      <c r="ADX120" s="0"/>
      <c r="ADY120" s="0"/>
      <c r="ADZ120" s="0"/>
      <c r="AEA120" s="0"/>
      <c r="AEB120" s="0"/>
      <c r="AEC120" s="0"/>
      <c r="AED120" s="0"/>
      <c r="AEE120" s="0"/>
      <c r="AEF120" s="0"/>
      <c r="AEG120" s="0"/>
      <c r="AEH120" s="0"/>
      <c r="AEI120" s="0"/>
      <c r="AEJ120" s="0"/>
      <c r="AEK120" s="0"/>
      <c r="AEL120" s="0"/>
      <c r="AEM120" s="0"/>
      <c r="AEN120" s="0"/>
      <c r="AEO120" s="0"/>
      <c r="AEP120" s="0"/>
      <c r="AEQ120" s="0"/>
      <c r="AER120" s="0"/>
      <c r="AES120" s="0"/>
      <c r="AET120" s="0"/>
      <c r="AEU120" s="0"/>
      <c r="AEV120" s="0"/>
      <c r="AEW120" s="0"/>
      <c r="AEX120" s="0"/>
      <c r="AEY120" s="0"/>
      <c r="AEZ120" s="0"/>
      <c r="AFA120" s="0"/>
      <c r="AFB120" s="0"/>
      <c r="AFC120" s="0"/>
      <c r="AFD120" s="0"/>
      <c r="AFE120" s="0"/>
      <c r="AFF120" s="0"/>
      <c r="AFG120" s="0"/>
      <c r="AFH120" s="0"/>
      <c r="AFI120" s="0"/>
      <c r="AFJ120" s="0"/>
      <c r="AFK120" s="0"/>
      <c r="AFL120" s="0"/>
      <c r="AFM120" s="0"/>
      <c r="AFN120" s="0"/>
      <c r="AFO120" s="0"/>
      <c r="AFP120" s="0"/>
      <c r="AFQ120" s="0"/>
      <c r="AFR120" s="0"/>
      <c r="AFS120" s="0"/>
      <c r="AFT120" s="0"/>
      <c r="AFU120" s="0"/>
      <c r="AFV120" s="0"/>
      <c r="AFW120" s="0"/>
      <c r="AFX120" s="0"/>
      <c r="AFY120" s="0"/>
      <c r="AFZ120" s="0"/>
      <c r="AGA120" s="0"/>
      <c r="AGB120" s="0"/>
      <c r="AGC120" s="0"/>
      <c r="AGD120" s="0"/>
      <c r="AGE120" s="0"/>
      <c r="AGF120" s="0"/>
      <c r="AGG120" s="0"/>
      <c r="AGH120" s="0"/>
      <c r="AGI120" s="0"/>
      <c r="AGJ120" s="0"/>
      <c r="AGK120" s="0"/>
      <c r="AGL120" s="0"/>
      <c r="AGM120" s="0"/>
      <c r="AGN120" s="0"/>
      <c r="AGO120" s="0"/>
      <c r="AGP120" s="0"/>
      <c r="AGQ120" s="0"/>
      <c r="AGR120" s="0"/>
      <c r="AGS120" s="0"/>
      <c r="AGT120" s="0"/>
      <c r="AGU120" s="0"/>
      <c r="AGV120" s="0"/>
      <c r="AGW120" s="0"/>
      <c r="AGX120" s="0"/>
      <c r="AGY120" s="0"/>
      <c r="AGZ120" s="0"/>
      <c r="AHA120" s="0"/>
      <c r="AHB120" s="0"/>
      <c r="AHC120" s="0"/>
      <c r="AHD120" s="0"/>
      <c r="AHE120" s="0"/>
      <c r="AHF120" s="0"/>
      <c r="AHG120" s="0"/>
      <c r="AHH120" s="0"/>
      <c r="AHI120" s="0"/>
      <c r="AHJ120" s="0"/>
      <c r="AHK120" s="0"/>
      <c r="AHL120" s="0"/>
      <c r="AHM120" s="0"/>
      <c r="AHN120" s="0"/>
      <c r="AHO120" s="0"/>
      <c r="AHP120" s="0"/>
      <c r="AHQ120" s="0"/>
      <c r="AHR120" s="0"/>
      <c r="AHS120" s="0"/>
      <c r="AHT120" s="0"/>
      <c r="AHU120" s="0"/>
      <c r="AHV120" s="0"/>
      <c r="AHW120" s="0"/>
      <c r="AHX120" s="0"/>
      <c r="AHY120" s="0"/>
      <c r="AHZ120" s="0"/>
      <c r="AIA120" s="0"/>
      <c r="AIB120" s="0"/>
      <c r="AIC120" s="0"/>
      <c r="AID120" s="0"/>
      <c r="AIE120" s="0"/>
      <c r="AIF120" s="0"/>
      <c r="AIG120" s="0"/>
      <c r="AIH120" s="0"/>
      <c r="AII120" s="0"/>
      <c r="AIJ120" s="0"/>
      <c r="AIK120" s="0"/>
      <c r="AIL120" s="0"/>
      <c r="AIM120" s="0"/>
      <c r="AIN120" s="0"/>
      <c r="AIO120" s="0"/>
      <c r="AIP120" s="0"/>
      <c r="AIQ120" s="0"/>
      <c r="AIR120" s="0"/>
      <c r="AIS120" s="0"/>
      <c r="AIT120" s="0"/>
      <c r="AIU120" s="0"/>
      <c r="AIV120" s="0"/>
      <c r="AIW120" s="0"/>
      <c r="AIX120" s="0"/>
      <c r="AIY120" s="0"/>
      <c r="AIZ120" s="0"/>
      <c r="AJA120" s="0"/>
      <c r="AJB120" s="0"/>
      <c r="AJC120" s="0"/>
      <c r="AJD120" s="0"/>
      <c r="AJE120" s="0"/>
      <c r="AJF120" s="0"/>
      <c r="AJG120" s="0"/>
      <c r="AJH120" s="0"/>
      <c r="AJI120" s="0"/>
      <c r="AJJ120" s="0"/>
      <c r="AJK120" s="0"/>
      <c r="AJL120" s="0"/>
      <c r="AJM120" s="0"/>
      <c r="AJN120" s="0"/>
      <c r="AJO120" s="0"/>
      <c r="AJP120" s="0"/>
      <c r="AJQ120" s="0"/>
      <c r="AJR120" s="0"/>
      <c r="AJS120" s="0"/>
      <c r="AJT120" s="0"/>
      <c r="AJU120" s="0"/>
      <c r="AJV120" s="0"/>
      <c r="AJW120" s="0"/>
      <c r="AJX120" s="0"/>
      <c r="AJY120" s="0"/>
      <c r="AJZ120" s="0"/>
      <c r="AKA120" s="0"/>
      <c r="AKB120" s="0"/>
      <c r="AKC120" s="0"/>
      <c r="AKD120" s="0"/>
      <c r="AKE120" s="0"/>
      <c r="AKF120" s="0"/>
      <c r="AKG120" s="0"/>
      <c r="AKH120" s="0"/>
      <c r="AKI120" s="0"/>
      <c r="AKJ120" s="0"/>
      <c r="AKK120" s="0"/>
      <c r="AKL120" s="0"/>
      <c r="AKM120" s="0"/>
      <c r="AKN120" s="0"/>
      <c r="AKO120" s="0"/>
      <c r="AKP120" s="0"/>
      <c r="AKQ120" s="0"/>
      <c r="AKR120" s="0"/>
      <c r="AKS120" s="0"/>
      <c r="AKT120" s="0"/>
      <c r="AKU120" s="0"/>
      <c r="AKV120" s="0"/>
      <c r="AKW120" s="0"/>
      <c r="AKX120" s="0"/>
      <c r="AKY120" s="0"/>
      <c r="AKZ120" s="0"/>
      <c r="ALA120" s="0"/>
      <c r="ALB120" s="0"/>
      <c r="ALC120" s="0"/>
      <c r="ALD120" s="0"/>
      <c r="ALE120" s="0"/>
      <c r="ALF120" s="0"/>
      <c r="ALG120" s="0"/>
      <c r="ALH120" s="0"/>
      <c r="ALI120" s="0"/>
      <c r="ALJ120" s="0"/>
      <c r="ALK120" s="0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</row>
    <row r="121" customFormat="false" ht="14.4" hidden="false" customHeight="false" outlineLevel="0" collapsed="false">
      <c r="A121" s="80" t="n">
        <f aca="false">(B121/83)*100</f>
        <v>1.08433734939759</v>
      </c>
      <c r="B121" s="14" t="n">
        <v>0.9</v>
      </c>
      <c r="D121" s="14" t="n">
        <f aca="false">E121/I121</f>
        <v>0.213592233009709</v>
      </c>
      <c r="E121" s="15" t="n">
        <f aca="false">(G121+F121)/2/H121</f>
        <v>110</v>
      </c>
      <c r="F121" s="38" t="n">
        <v>80</v>
      </c>
      <c r="G121" s="17" t="n">
        <v>140</v>
      </c>
      <c r="H121" s="39" t="n">
        <v>1</v>
      </c>
      <c r="I121" s="19" t="n">
        <v>515</v>
      </c>
      <c r="J121" s="64" t="n">
        <v>0.25</v>
      </c>
      <c r="L121" s="23"/>
      <c r="N121" s="19" t="n">
        <v>20</v>
      </c>
      <c r="Q121" s="19" t="n">
        <f aca="false">M121*N121</f>
        <v>0</v>
      </c>
      <c r="R121" s="21" t="n">
        <f aca="false">A121*N121</f>
        <v>21.6867469879518</v>
      </c>
      <c r="T121" s="22" t="n">
        <f aca="false">(G121-F121)/H121/E121</f>
        <v>0.545454545454545</v>
      </c>
      <c r="Z121" s="40" t="s">
        <v>182</v>
      </c>
      <c r="AA121" s="19" t="s">
        <v>183</v>
      </c>
      <c r="AB121" s="41" t="n">
        <v>2013</v>
      </c>
      <c r="AC121" s="84" t="s">
        <v>184</v>
      </c>
      <c r="AE121" s="19" t="n">
        <v>270.5</v>
      </c>
      <c r="AK121" s="66" t="n">
        <f aca="false">1070/J121*1000000000000</f>
        <v>4280000000000000</v>
      </c>
      <c r="AL121" s="85" t="s">
        <v>185</v>
      </c>
      <c r="AM121" s="19" t="s">
        <v>116</v>
      </c>
      <c r="AO121" s="40"/>
      <c r="AQ121" s="26" t="n">
        <v>8.4</v>
      </c>
      <c r="AR121" s="26" t="n">
        <v>8.4</v>
      </c>
      <c r="AS121" s="26" t="n">
        <v>8.4</v>
      </c>
      <c r="AU121" s="19" t="n">
        <v>0</v>
      </c>
      <c r="AW121" s="19" t="s">
        <v>117</v>
      </c>
      <c r="AX121" s="69" t="n">
        <v>0</v>
      </c>
    </row>
    <row r="122" customFormat="false" ht="14.4" hidden="false" customHeight="false" outlineLevel="0" collapsed="false">
      <c r="A122" s="80" t="n">
        <f aca="false">(B122/83)*100</f>
        <v>1.08433734939759</v>
      </c>
      <c r="B122" s="14" t="n">
        <v>0.9</v>
      </c>
      <c r="D122" s="14" t="n">
        <f aca="false">E122/I122</f>
        <v>0.218446601941748</v>
      </c>
      <c r="E122" s="15" t="n">
        <f aca="false">(G122+F122)/2/H122</f>
        <v>112.5</v>
      </c>
      <c r="F122" s="38" t="n">
        <v>220</v>
      </c>
      <c r="G122" s="17" t="n">
        <v>230</v>
      </c>
      <c r="H122" s="39" t="n">
        <v>2</v>
      </c>
      <c r="I122" s="19" t="n">
        <v>515</v>
      </c>
      <c r="J122" s="64" t="n">
        <v>0.25</v>
      </c>
      <c r="N122" s="19" t="n">
        <v>50</v>
      </c>
      <c r="Q122" s="19" t="n">
        <f aca="false">M122*N122</f>
        <v>0</v>
      </c>
      <c r="R122" s="21" t="n">
        <f aca="false">A122*N122</f>
        <v>54.2168674698795</v>
      </c>
      <c r="T122" s="22" t="n">
        <f aca="false">(G122-F122)/H122/E122</f>
        <v>0.0444444444444444</v>
      </c>
      <c r="V122" s="0"/>
      <c r="W122" s="0"/>
      <c r="X122" s="0"/>
      <c r="Y122" s="0"/>
      <c r="Z122" s="40" t="s">
        <v>182</v>
      </c>
      <c r="AA122" s="19" t="s">
        <v>183</v>
      </c>
      <c r="AB122" s="41" t="n">
        <v>2013</v>
      </c>
      <c r="AC122" s="84" t="s">
        <v>184</v>
      </c>
      <c r="AE122" s="19" t="n">
        <v>270.5</v>
      </c>
      <c r="AK122" s="66" t="n">
        <f aca="false">1070/J122*1000000000000</f>
        <v>4280000000000000</v>
      </c>
      <c r="AL122" s="85" t="s">
        <v>185</v>
      </c>
      <c r="AM122" s="19" t="s">
        <v>116</v>
      </c>
      <c r="AO122" s="40"/>
      <c r="AQ122" s="26" t="n">
        <v>8.4</v>
      </c>
      <c r="AR122" s="26" t="n">
        <v>8.4</v>
      </c>
      <c r="AS122" s="26" t="n">
        <v>8.4</v>
      </c>
      <c r="AU122" s="19" t="n">
        <v>0</v>
      </c>
      <c r="AW122" s="19" t="s">
        <v>117</v>
      </c>
      <c r="AX122" s="69" t="n">
        <v>0</v>
      </c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/>
      <c r="YV122" s="0"/>
      <c r="YW122" s="0"/>
      <c r="YX122" s="0"/>
      <c r="YY122" s="0"/>
      <c r="YZ122" s="0"/>
      <c r="ZA122" s="0"/>
      <c r="ZB122" s="0"/>
      <c r="ZC122" s="0"/>
      <c r="ZD122" s="0"/>
      <c r="ZE122" s="0"/>
      <c r="ZF122" s="0"/>
      <c r="ZG122" s="0"/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/>
      <c r="AAM122" s="0"/>
      <c r="AAN122" s="0"/>
      <c r="AAO122" s="0"/>
      <c r="AAP122" s="0"/>
      <c r="AAQ122" s="0"/>
      <c r="AAR122" s="0"/>
      <c r="AAS122" s="0"/>
      <c r="AAT122" s="0"/>
      <c r="AAU122" s="0"/>
      <c r="AAV122" s="0"/>
      <c r="AAW122" s="0"/>
      <c r="AAX122" s="0"/>
      <c r="AAY122" s="0"/>
      <c r="AAZ122" s="0"/>
      <c r="ABA122" s="0"/>
      <c r="ABB122" s="0"/>
      <c r="ABC122" s="0"/>
      <c r="ABD122" s="0"/>
      <c r="ABE122" s="0"/>
      <c r="ABF122" s="0"/>
      <c r="ABG122" s="0"/>
      <c r="ABH122" s="0"/>
      <c r="ABI122" s="0"/>
      <c r="ABJ122" s="0"/>
      <c r="ABK122" s="0"/>
      <c r="ABL122" s="0"/>
      <c r="ABM122" s="0"/>
      <c r="ABN122" s="0"/>
      <c r="ABO122" s="0"/>
      <c r="ABP122" s="0"/>
      <c r="ABQ122" s="0"/>
      <c r="ABR122" s="0"/>
      <c r="ABS122" s="0"/>
      <c r="ABT122" s="0"/>
      <c r="ABU122" s="0"/>
      <c r="ABV122" s="0"/>
      <c r="ABW122" s="0"/>
      <c r="ABX122" s="0"/>
      <c r="ABY122" s="0"/>
      <c r="ABZ122" s="0"/>
      <c r="ACA122" s="0"/>
      <c r="ACB122" s="0"/>
      <c r="ACC122" s="0"/>
      <c r="ACD122" s="0"/>
      <c r="ACE122" s="0"/>
      <c r="ACF122" s="0"/>
      <c r="ACG122" s="0"/>
      <c r="ACH122" s="0"/>
      <c r="ACI122" s="0"/>
      <c r="ACJ122" s="0"/>
      <c r="ACK122" s="0"/>
      <c r="ACL122" s="0"/>
      <c r="ACM122" s="0"/>
      <c r="ACN122" s="0"/>
      <c r="ACO122" s="0"/>
      <c r="ACP122" s="0"/>
      <c r="ACQ122" s="0"/>
      <c r="ACR122" s="0"/>
      <c r="ACS122" s="0"/>
      <c r="ACT122" s="0"/>
      <c r="ACU122" s="0"/>
      <c r="ACV122" s="0"/>
      <c r="ACW122" s="0"/>
      <c r="ACX122" s="0"/>
      <c r="ACY122" s="0"/>
      <c r="ACZ122" s="0"/>
      <c r="ADA122" s="0"/>
      <c r="ADB122" s="0"/>
      <c r="ADC122" s="0"/>
      <c r="ADD122" s="0"/>
      <c r="ADE122" s="0"/>
      <c r="ADF122" s="0"/>
      <c r="ADG122" s="0"/>
      <c r="ADH122" s="0"/>
      <c r="ADI122" s="0"/>
      <c r="ADJ122" s="0"/>
      <c r="ADK122" s="0"/>
      <c r="ADL122" s="0"/>
      <c r="ADM122" s="0"/>
      <c r="ADN122" s="0"/>
      <c r="ADO122" s="0"/>
      <c r="ADP122" s="0"/>
      <c r="ADQ122" s="0"/>
      <c r="ADR122" s="0"/>
      <c r="ADS122" s="0"/>
      <c r="ADT122" s="0"/>
      <c r="ADU122" s="0"/>
      <c r="ADV122" s="0"/>
      <c r="ADW122" s="0"/>
      <c r="ADX122" s="0"/>
      <c r="ADY122" s="0"/>
      <c r="ADZ122" s="0"/>
      <c r="AEA122" s="0"/>
      <c r="AEB122" s="0"/>
      <c r="AEC122" s="0"/>
      <c r="AED122" s="0"/>
      <c r="AEE122" s="0"/>
      <c r="AEF122" s="0"/>
      <c r="AEG122" s="0"/>
      <c r="AEH122" s="0"/>
      <c r="AEI122" s="0"/>
      <c r="AEJ122" s="0"/>
      <c r="AEK122" s="0"/>
      <c r="AEL122" s="0"/>
      <c r="AEM122" s="0"/>
      <c r="AEN122" s="0"/>
      <c r="AEO122" s="0"/>
      <c r="AEP122" s="0"/>
      <c r="AEQ122" s="0"/>
      <c r="AER122" s="0"/>
      <c r="AES122" s="0"/>
      <c r="AET122" s="0"/>
      <c r="AEU122" s="0"/>
      <c r="AEV122" s="0"/>
      <c r="AEW122" s="0"/>
      <c r="AEX122" s="0"/>
      <c r="AEY122" s="0"/>
      <c r="AEZ122" s="0"/>
      <c r="AFA122" s="0"/>
      <c r="AFB122" s="0"/>
      <c r="AFC122" s="0"/>
      <c r="AFD122" s="0"/>
      <c r="AFE122" s="0"/>
      <c r="AFF122" s="0"/>
      <c r="AFG122" s="0"/>
      <c r="AFH122" s="0"/>
      <c r="AFI122" s="0"/>
      <c r="AFJ122" s="0"/>
      <c r="AFK122" s="0"/>
      <c r="AFL122" s="0"/>
      <c r="AFM122" s="0"/>
      <c r="AFN122" s="0"/>
      <c r="AFO122" s="0"/>
      <c r="AFP122" s="0"/>
      <c r="AFQ122" s="0"/>
      <c r="AFR122" s="0"/>
      <c r="AFS122" s="0"/>
      <c r="AFT122" s="0"/>
      <c r="AFU122" s="0"/>
      <c r="AFV122" s="0"/>
      <c r="AFW122" s="0"/>
      <c r="AFX122" s="0"/>
      <c r="AFY122" s="0"/>
      <c r="AFZ122" s="0"/>
      <c r="AGA122" s="0"/>
      <c r="AGB122" s="0"/>
      <c r="AGC122" s="0"/>
      <c r="AGD122" s="0"/>
      <c r="AGE122" s="0"/>
      <c r="AGF122" s="0"/>
      <c r="AGG122" s="0"/>
      <c r="AGH122" s="0"/>
      <c r="AGI122" s="0"/>
      <c r="AGJ122" s="0"/>
      <c r="AGK122" s="0"/>
      <c r="AGL122" s="0"/>
      <c r="AGM122" s="0"/>
      <c r="AGN122" s="0"/>
      <c r="AGO122" s="0"/>
      <c r="AGP122" s="0"/>
      <c r="AGQ122" s="0"/>
      <c r="AGR122" s="0"/>
      <c r="AGS122" s="0"/>
      <c r="AGT122" s="0"/>
      <c r="AGU122" s="0"/>
      <c r="AGV122" s="0"/>
      <c r="AGW122" s="0"/>
      <c r="AGX122" s="0"/>
      <c r="AGY122" s="0"/>
      <c r="AGZ122" s="0"/>
      <c r="AHA122" s="0"/>
      <c r="AHB122" s="0"/>
      <c r="AHC122" s="0"/>
      <c r="AHD122" s="0"/>
      <c r="AHE122" s="0"/>
      <c r="AHF122" s="0"/>
      <c r="AHG122" s="0"/>
      <c r="AHH122" s="0"/>
      <c r="AHI122" s="0"/>
      <c r="AHJ122" s="0"/>
      <c r="AHK122" s="0"/>
      <c r="AHL122" s="0"/>
      <c r="AHM122" s="0"/>
      <c r="AHN122" s="0"/>
      <c r="AHO122" s="0"/>
      <c r="AHP122" s="0"/>
      <c r="AHQ122" s="0"/>
      <c r="AHR122" s="0"/>
      <c r="AHS122" s="0"/>
      <c r="AHT122" s="0"/>
      <c r="AHU122" s="0"/>
      <c r="AHV122" s="0"/>
      <c r="AHW122" s="0"/>
      <c r="AHX122" s="0"/>
      <c r="AHY122" s="0"/>
      <c r="AHZ122" s="0"/>
      <c r="AIA122" s="0"/>
      <c r="AIB122" s="0"/>
      <c r="AIC122" s="0"/>
      <c r="AID122" s="0"/>
      <c r="AIE122" s="0"/>
      <c r="AIF122" s="0"/>
      <c r="AIG122" s="0"/>
      <c r="AIH122" s="0"/>
      <c r="AII122" s="0"/>
      <c r="AIJ122" s="0"/>
      <c r="AIK122" s="0"/>
      <c r="AIL122" s="0"/>
      <c r="AIM122" s="0"/>
      <c r="AIN122" s="0"/>
      <c r="AIO122" s="0"/>
      <c r="AIP122" s="0"/>
      <c r="AIQ122" s="0"/>
      <c r="AIR122" s="0"/>
      <c r="AIS122" s="0"/>
      <c r="AIT122" s="0"/>
      <c r="AIU122" s="0"/>
      <c r="AIV122" s="0"/>
      <c r="AIW122" s="0"/>
      <c r="AIX122" s="0"/>
      <c r="AIY122" s="0"/>
      <c r="AIZ122" s="0"/>
      <c r="AJA122" s="0"/>
      <c r="AJB122" s="0"/>
      <c r="AJC122" s="0"/>
      <c r="AJD122" s="0"/>
      <c r="AJE122" s="0"/>
      <c r="AJF122" s="0"/>
      <c r="AJG122" s="0"/>
      <c r="AJH122" s="0"/>
      <c r="AJI122" s="0"/>
      <c r="AJJ122" s="0"/>
      <c r="AJK122" s="0"/>
      <c r="AJL122" s="0"/>
      <c r="AJM122" s="0"/>
      <c r="AJN122" s="0"/>
      <c r="AJO122" s="0"/>
      <c r="AJP122" s="0"/>
      <c r="AJQ122" s="0"/>
      <c r="AJR122" s="0"/>
      <c r="AJS122" s="0"/>
      <c r="AJT122" s="0"/>
      <c r="AJU122" s="0"/>
      <c r="AJV122" s="0"/>
      <c r="AJW122" s="0"/>
      <c r="AJX122" s="0"/>
      <c r="AJY122" s="0"/>
      <c r="AJZ122" s="0"/>
      <c r="AKA122" s="0"/>
      <c r="AKB122" s="0"/>
      <c r="AKC122" s="0"/>
      <c r="AKD122" s="0"/>
      <c r="AKE122" s="0"/>
      <c r="AKF122" s="0"/>
      <c r="AKG122" s="0"/>
      <c r="AKH122" s="0"/>
      <c r="AKI122" s="0"/>
      <c r="AKJ122" s="0"/>
      <c r="AKK122" s="0"/>
      <c r="AKL122" s="0"/>
      <c r="AKM122" s="0"/>
      <c r="AKN122" s="0"/>
      <c r="AKO122" s="0"/>
      <c r="AKP122" s="0"/>
      <c r="AKQ122" s="0"/>
      <c r="AKR122" s="0"/>
      <c r="AKS122" s="0"/>
      <c r="AKT122" s="0"/>
      <c r="AKU122" s="0"/>
      <c r="AKV122" s="0"/>
      <c r="AKW122" s="0"/>
      <c r="AKX122" s="0"/>
      <c r="AKY122" s="0"/>
      <c r="AKZ122" s="0"/>
      <c r="ALA122" s="0"/>
      <c r="ALB122" s="0"/>
      <c r="ALC122" s="0"/>
      <c r="ALD122" s="0"/>
      <c r="ALE122" s="0"/>
      <c r="ALF122" s="0"/>
      <c r="ALG122" s="0"/>
      <c r="ALH122" s="0"/>
      <c r="ALI122" s="0"/>
      <c r="ALJ122" s="0"/>
      <c r="ALK122" s="0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</row>
    <row r="123" customFormat="false" ht="14.4" hidden="false" customHeight="false" outlineLevel="0" collapsed="false">
      <c r="A123" s="80" t="n">
        <f aca="false">(B123/83)*100</f>
        <v>1.08433734939759</v>
      </c>
      <c r="B123" s="14" t="n">
        <v>0.9</v>
      </c>
      <c r="D123" s="14" t="n">
        <f aca="false">E123/I123</f>
        <v>0.213592233009709</v>
      </c>
      <c r="E123" s="15" t="n">
        <f aca="false">(G123+F123)/2/H123</f>
        <v>110</v>
      </c>
      <c r="F123" s="38" t="n">
        <v>100</v>
      </c>
      <c r="G123" s="17" t="n">
        <v>120</v>
      </c>
      <c r="H123" s="39" t="n">
        <v>1</v>
      </c>
      <c r="I123" s="19" t="n">
        <v>515</v>
      </c>
      <c r="J123" s="64" t="n">
        <v>0.25</v>
      </c>
      <c r="N123" s="19" t="n">
        <v>100</v>
      </c>
      <c r="Q123" s="19" t="n">
        <f aca="false">M123*N123</f>
        <v>0</v>
      </c>
      <c r="R123" s="21" t="n">
        <f aca="false">A123*N123</f>
        <v>108.433734939759</v>
      </c>
      <c r="T123" s="22" t="n">
        <f aca="false">(G123-F123)/H123/E123</f>
        <v>0.181818181818182</v>
      </c>
      <c r="V123" s="0"/>
      <c r="W123" s="0"/>
      <c r="X123" s="0"/>
      <c r="Y123" s="0"/>
      <c r="Z123" s="40" t="s">
        <v>182</v>
      </c>
      <c r="AA123" s="19" t="s">
        <v>183</v>
      </c>
      <c r="AB123" s="41" t="n">
        <v>2013</v>
      </c>
      <c r="AC123" s="84" t="s">
        <v>184</v>
      </c>
      <c r="AE123" s="19" t="n">
        <v>270.5</v>
      </c>
      <c r="AK123" s="66" t="n">
        <f aca="false">1070/J123*1000000000000</f>
        <v>4280000000000000</v>
      </c>
      <c r="AL123" s="85" t="s">
        <v>185</v>
      </c>
      <c r="AM123" s="19" t="s">
        <v>116</v>
      </c>
      <c r="AO123" s="40"/>
      <c r="AQ123" s="26" t="n">
        <v>8.4</v>
      </c>
      <c r="AR123" s="26" t="n">
        <v>8.4</v>
      </c>
      <c r="AS123" s="26" t="n">
        <v>8.4</v>
      </c>
      <c r="AU123" s="19" t="n">
        <v>0</v>
      </c>
      <c r="AW123" s="19" t="s">
        <v>117</v>
      </c>
      <c r="AX123" s="69" t="n">
        <v>0</v>
      </c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/>
      <c r="YV123" s="0"/>
      <c r="YW123" s="0"/>
      <c r="YX123" s="0"/>
      <c r="YY123" s="0"/>
      <c r="YZ123" s="0"/>
      <c r="ZA123" s="0"/>
      <c r="ZB123" s="0"/>
      <c r="ZC123" s="0"/>
      <c r="ZD123" s="0"/>
      <c r="ZE123" s="0"/>
      <c r="ZF123" s="0"/>
      <c r="ZG123" s="0"/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/>
      <c r="AAM123" s="0"/>
      <c r="AAN123" s="0"/>
      <c r="AAO123" s="0"/>
      <c r="AAP123" s="0"/>
      <c r="AAQ123" s="0"/>
      <c r="AAR123" s="0"/>
      <c r="AAS123" s="0"/>
      <c r="AAT123" s="0"/>
      <c r="AAU123" s="0"/>
      <c r="AAV123" s="0"/>
      <c r="AAW123" s="0"/>
      <c r="AAX123" s="0"/>
      <c r="AAY123" s="0"/>
      <c r="AAZ123" s="0"/>
      <c r="ABA123" s="0"/>
      <c r="ABB123" s="0"/>
      <c r="ABC123" s="0"/>
      <c r="ABD123" s="0"/>
      <c r="ABE123" s="0"/>
      <c r="ABF123" s="0"/>
      <c r="ABG123" s="0"/>
      <c r="ABH123" s="0"/>
      <c r="ABI123" s="0"/>
      <c r="ABJ123" s="0"/>
      <c r="ABK123" s="0"/>
      <c r="ABL123" s="0"/>
      <c r="ABM123" s="0"/>
      <c r="ABN123" s="0"/>
      <c r="ABO123" s="0"/>
      <c r="ABP123" s="0"/>
      <c r="ABQ123" s="0"/>
      <c r="ABR123" s="0"/>
      <c r="ABS123" s="0"/>
      <c r="ABT123" s="0"/>
      <c r="ABU123" s="0"/>
      <c r="ABV123" s="0"/>
      <c r="ABW123" s="0"/>
      <c r="ABX123" s="0"/>
      <c r="ABY123" s="0"/>
      <c r="ABZ123" s="0"/>
      <c r="ACA123" s="0"/>
      <c r="ACB123" s="0"/>
      <c r="ACC123" s="0"/>
      <c r="ACD123" s="0"/>
      <c r="ACE123" s="0"/>
      <c r="ACF123" s="0"/>
      <c r="ACG123" s="0"/>
      <c r="ACH123" s="0"/>
      <c r="ACI123" s="0"/>
      <c r="ACJ123" s="0"/>
      <c r="ACK123" s="0"/>
      <c r="ACL123" s="0"/>
      <c r="ACM123" s="0"/>
      <c r="ACN123" s="0"/>
      <c r="ACO123" s="0"/>
      <c r="ACP123" s="0"/>
      <c r="ACQ123" s="0"/>
      <c r="ACR123" s="0"/>
      <c r="ACS123" s="0"/>
      <c r="ACT123" s="0"/>
      <c r="ACU123" s="0"/>
      <c r="ACV123" s="0"/>
      <c r="ACW123" s="0"/>
      <c r="ACX123" s="0"/>
      <c r="ACY123" s="0"/>
      <c r="ACZ123" s="0"/>
      <c r="ADA123" s="0"/>
      <c r="ADB123" s="0"/>
      <c r="ADC123" s="0"/>
      <c r="ADD123" s="0"/>
      <c r="ADE123" s="0"/>
      <c r="ADF123" s="0"/>
      <c r="ADG123" s="0"/>
      <c r="ADH123" s="0"/>
      <c r="ADI123" s="0"/>
      <c r="ADJ123" s="0"/>
      <c r="ADK123" s="0"/>
      <c r="ADL123" s="0"/>
      <c r="ADM123" s="0"/>
      <c r="ADN123" s="0"/>
      <c r="ADO123" s="0"/>
      <c r="ADP123" s="0"/>
      <c r="ADQ123" s="0"/>
      <c r="ADR123" s="0"/>
      <c r="ADS123" s="0"/>
      <c r="ADT123" s="0"/>
      <c r="ADU123" s="0"/>
      <c r="ADV123" s="0"/>
      <c r="ADW123" s="0"/>
      <c r="ADX123" s="0"/>
      <c r="ADY123" s="0"/>
      <c r="ADZ123" s="0"/>
      <c r="AEA123" s="0"/>
      <c r="AEB123" s="0"/>
      <c r="AEC123" s="0"/>
      <c r="AED123" s="0"/>
      <c r="AEE123" s="0"/>
      <c r="AEF123" s="0"/>
      <c r="AEG123" s="0"/>
      <c r="AEH123" s="0"/>
      <c r="AEI123" s="0"/>
      <c r="AEJ123" s="0"/>
      <c r="AEK123" s="0"/>
      <c r="AEL123" s="0"/>
      <c r="AEM123" s="0"/>
      <c r="AEN123" s="0"/>
      <c r="AEO123" s="0"/>
      <c r="AEP123" s="0"/>
      <c r="AEQ123" s="0"/>
      <c r="AER123" s="0"/>
      <c r="AES123" s="0"/>
      <c r="AET123" s="0"/>
      <c r="AEU123" s="0"/>
      <c r="AEV123" s="0"/>
      <c r="AEW123" s="0"/>
      <c r="AEX123" s="0"/>
      <c r="AEY123" s="0"/>
      <c r="AEZ123" s="0"/>
      <c r="AFA123" s="0"/>
      <c r="AFB123" s="0"/>
      <c r="AFC123" s="0"/>
      <c r="AFD123" s="0"/>
      <c r="AFE123" s="0"/>
      <c r="AFF123" s="0"/>
      <c r="AFG123" s="0"/>
      <c r="AFH123" s="0"/>
      <c r="AFI123" s="0"/>
      <c r="AFJ123" s="0"/>
      <c r="AFK123" s="0"/>
      <c r="AFL123" s="0"/>
      <c r="AFM123" s="0"/>
      <c r="AFN123" s="0"/>
      <c r="AFO123" s="0"/>
      <c r="AFP123" s="0"/>
      <c r="AFQ123" s="0"/>
      <c r="AFR123" s="0"/>
      <c r="AFS123" s="0"/>
      <c r="AFT123" s="0"/>
      <c r="AFU123" s="0"/>
      <c r="AFV123" s="0"/>
      <c r="AFW123" s="0"/>
      <c r="AFX123" s="0"/>
      <c r="AFY123" s="0"/>
      <c r="AFZ123" s="0"/>
      <c r="AGA123" s="0"/>
      <c r="AGB123" s="0"/>
      <c r="AGC123" s="0"/>
      <c r="AGD123" s="0"/>
      <c r="AGE123" s="0"/>
      <c r="AGF123" s="0"/>
      <c r="AGG123" s="0"/>
      <c r="AGH123" s="0"/>
      <c r="AGI123" s="0"/>
      <c r="AGJ123" s="0"/>
      <c r="AGK123" s="0"/>
      <c r="AGL123" s="0"/>
      <c r="AGM123" s="0"/>
      <c r="AGN123" s="0"/>
      <c r="AGO123" s="0"/>
      <c r="AGP123" s="0"/>
      <c r="AGQ123" s="0"/>
      <c r="AGR123" s="0"/>
      <c r="AGS123" s="0"/>
      <c r="AGT123" s="0"/>
      <c r="AGU123" s="0"/>
      <c r="AGV123" s="0"/>
      <c r="AGW123" s="0"/>
      <c r="AGX123" s="0"/>
      <c r="AGY123" s="0"/>
      <c r="AGZ123" s="0"/>
      <c r="AHA123" s="0"/>
      <c r="AHB123" s="0"/>
      <c r="AHC123" s="0"/>
      <c r="AHD123" s="0"/>
      <c r="AHE123" s="0"/>
      <c r="AHF123" s="0"/>
      <c r="AHG123" s="0"/>
      <c r="AHH123" s="0"/>
      <c r="AHI123" s="0"/>
      <c r="AHJ123" s="0"/>
      <c r="AHK123" s="0"/>
      <c r="AHL123" s="0"/>
      <c r="AHM123" s="0"/>
      <c r="AHN123" s="0"/>
      <c r="AHO123" s="0"/>
      <c r="AHP123" s="0"/>
      <c r="AHQ123" s="0"/>
      <c r="AHR123" s="0"/>
      <c r="AHS123" s="0"/>
      <c r="AHT123" s="0"/>
      <c r="AHU123" s="0"/>
      <c r="AHV123" s="0"/>
      <c r="AHW123" s="0"/>
      <c r="AHX123" s="0"/>
      <c r="AHY123" s="0"/>
      <c r="AHZ123" s="0"/>
      <c r="AIA123" s="0"/>
      <c r="AIB123" s="0"/>
      <c r="AIC123" s="0"/>
      <c r="AID123" s="0"/>
      <c r="AIE123" s="0"/>
      <c r="AIF123" s="0"/>
      <c r="AIG123" s="0"/>
      <c r="AIH123" s="0"/>
      <c r="AII123" s="0"/>
      <c r="AIJ123" s="0"/>
      <c r="AIK123" s="0"/>
      <c r="AIL123" s="0"/>
      <c r="AIM123" s="0"/>
      <c r="AIN123" s="0"/>
      <c r="AIO123" s="0"/>
      <c r="AIP123" s="0"/>
      <c r="AIQ123" s="0"/>
      <c r="AIR123" s="0"/>
      <c r="AIS123" s="0"/>
      <c r="AIT123" s="0"/>
      <c r="AIU123" s="0"/>
      <c r="AIV123" s="0"/>
      <c r="AIW123" s="0"/>
      <c r="AIX123" s="0"/>
      <c r="AIY123" s="0"/>
      <c r="AIZ123" s="0"/>
      <c r="AJA123" s="0"/>
      <c r="AJB123" s="0"/>
      <c r="AJC123" s="0"/>
      <c r="AJD123" s="0"/>
      <c r="AJE123" s="0"/>
      <c r="AJF123" s="0"/>
      <c r="AJG123" s="0"/>
      <c r="AJH123" s="0"/>
      <c r="AJI123" s="0"/>
      <c r="AJJ123" s="0"/>
      <c r="AJK123" s="0"/>
      <c r="AJL123" s="0"/>
      <c r="AJM123" s="0"/>
      <c r="AJN123" s="0"/>
      <c r="AJO123" s="0"/>
      <c r="AJP123" s="0"/>
      <c r="AJQ123" s="0"/>
      <c r="AJR123" s="0"/>
      <c r="AJS123" s="0"/>
      <c r="AJT123" s="0"/>
      <c r="AJU123" s="0"/>
      <c r="AJV123" s="0"/>
      <c r="AJW123" s="0"/>
      <c r="AJX123" s="0"/>
      <c r="AJY123" s="0"/>
      <c r="AJZ123" s="0"/>
      <c r="AKA123" s="0"/>
      <c r="AKB123" s="0"/>
      <c r="AKC123" s="0"/>
      <c r="AKD123" s="0"/>
      <c r="AKE123" s="0"/>
      <c r="AKF123" s="0"/>
      <c r="AKG123" s="0"/>
      <c r="AKH123" s="0"/>
      <c r="AKI123" s="0"/>
      <c r="AKJ123" s="0"/>
      <c r="AKK123" s="0"/>
      <c r="AKL123" s="0"/>
      <c r="AKM123" s="0"/>
      <c r="AKN123" s="0"/>
      <c r="AKO123" s="0"/>
      <c r="AKP123" s="0"/>
      <c r="AKQ123" s="0"/>
      <c r="AKR123" s="0"/>
      <c r="AKS123" s="0"/>
      <c r="AKT123" s="0"/>
      <c r="AKU123" s="0"/>
      <c r="AKV123" s="0"/>
      <c r="AKW123" s="0"/>
      <c r="AKX123" s="0"/>
      <c r="AKY123" s="0"/>
      <c r="AKZ123" s="0"/>
      <c r="ALA123" s="0"/>
      <c r="ALB123" s="0"/>
      <c r="ALC123" s="0"/>
      <c r="ALD123" s="0"/>
      <c r="ALE123" s="0"/>
      <c r="ALF123" s="0"/>
      <c r="ALG123" s="0"/>
      <c r="ALH123" s="0"/>
      <c r="ALI123" s="0"/>
      <c r="ALJ123" s="0"/>
      <c r="ALK123" s="0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customFormat="false" ht="14.4" hidden="false" customHeight="false" outlineLevel="0" collapsed="false">
      <c r="A124" s="80" t="n">
        <f aca="false">(B124/83)*100</f>
        <v>1.08433734939759</v>
      </c>
      <c r="B124" s="14" t="n">
        <v>0.9</v>
      </c>
      <c r="D124" s="14" t="n">
        <f aca="false">E124/I124</f>
        <v>0.294688749286122</v>
      </c>
      <c r="E124" s="15" t="n">
        <f aca="false">(G124+F124)/2/H124</f>
        <v>151.764705882353</v>
      </c>
      <c r="F124" s="38" t="n">
        <v>2470</v>
      </c>
      <c r="G124" s="17" t="n">
        <v>2690</v>
      </c>
      <c r="H124" s="39" t="n">
        <v>17</v>
      </c>
      <c r="I124" s="19" t="n">
        <v>515</v>
      </c>
      <c r="J124" s="64" t="n">
        <v>0.25</v>
      </c>
      <c r="N124" s="19" t="n">
        <v>200</v>
      </c>
      <c r="Q124" s="19" t="n">
        <f aca="false">M124*N124</f>
        <v>0</v>
      </c>
      <c r="R124" s="21" t="n">
        <f aca="false">A124*N124</f>
        <v>216.867469879518</v>
      </c>
      <c r="T124" s="22" t="n">
        <f aca="false">(G124-F124)/H124/E124</f>
        <v>0.0852713178294574</v>
      </c>
      <c r="V124" s="0"/>
      <c r="W124" s="0"/>
      <c r="X124" s="0"/>
      <c r="Y124" s="0"/>
      <c r="Z124" s="40" t="s">
        <v>182</v>
      </c>
      <c r="AA124" s="19" t="s">
        <v>183</v>
      </c>
      <c r="AB124" s="41" t="n">
        <v>2013</v>
      </c>
      <c r="AC124" s="84" t="s">
        <v>184</v>
      </c>
      <c r="AE124" s="19" t="n">
        <v>270.5</v>
      </c>
      <c r="AK124" s="66" t="n">
        <f aca="false">1070/J124*1000000000000</f>
        <v>4280000000000000</v>
      </c>
      <c r="AL124" s="85" t="s">
        <v>185</v>
      </c>
      <c r="AM124" s="19" t="s">
        <v>116</v>
      </c>
      <c r="AO124" s="40"/>
      <c r="AQ124" s="26" t="n">
        <v>8.4</v>
      </c>
      <c r="AR124" s="26" t="n">
        <v>8.4</v>
      </c>
      <c r="AS124" s="26" t="n">
        <v>8.4</v>
      </c>
      <c r="AU124" s="19" t="n">
        <v>0</v>
      </c>
      <c r="AW124" s="19" t="s">
        <v>117</v>
      </c>
      <c r="AX124" s="69" t="n">
        <v>0</v>
      </c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</row>
    <row r="125" customFormat="false" ht="14.4" hidden="false" customHeight="false" outlineLevel="0" collapsed="false">
      <c r="A125" s="80" t="n">
        <f aca="false">(B125/83)*100</f>
        <v>1.08433734939759</v>
      </c>
      <c r="B125" s="14" t="n">
        <v>0.9</v>
      </c>
      <c r="C125" s="14" t="s">
        <v>186</v>
      </c>
      <c r="D125" s="14" t="n">
        <f aca="false">E125/I125</f>
        <v>0.766990291262136</v>
      </c>
      <c r="E125" s="15" t="n">
        <f aca="false">(G125+F125)/2/H125</f>
        <v>395</v>
      </c>
      <c r="F125" s="38" t="n">
        <v>1090</v>
      </c>
      <c r="G125" s="17" t="n">
        <v>1280</v>
      </c>
      <c r="H125" s="39" t="n">
        <v>3</v>
      </c>
      <c r="I125" s="19" t="n">
        <v>515</v>
      </c>
      <c r="J125" s="64" t="n">
        <v>0.25</v>
      </c>
      <c r="N125" s="19" t="n">
        <v>500</v>
      </c>
      <c r="Q125" s="19" t="n">
        <f aca="false">M125*N125</f>
        <v>0</v>
      </c>
      <c r="R125" s="21" t="n">
        <f aca="false">A125*N125</f>
        <v>542.168674698795</v>
      </c>
      <c r="T125" s="22" t="n">
        <f aca="false">(G125-F125)/H125/E125</f>
        <v>0.160337552742616</v>
      </c>
      <c r="V125" s="0"/>
      <c r="W125" s="0"/>
      <c r="X125" s="0"/>
      <c r="Y125" s="0"/>
      <c r="Z125" s="40" t="s">
        <v>182</v>
      </c>
      <c r="AA125" s="19" t="s">
        <v>183</v>
      </c>
      <c r="AB125" s="41" t="n">
        <v>2013</v>
      </c>
      <c r="AC125" s="84" t="s">
        <v>184</v>
      </c>
      <c r="AE125" s="19" t="n">
        <v>270.5</v>
      </c>
      <c r="AK125" s="66" t="n">
        <f aca="false">1070/J125*1000000000000</f>
        <v>4280000000000000</v>
      </c>
      <c r="AL125" s="85" t="s">
        <v>185</v>
      </c>
      <c r="AM125" s="19" t="s">
        <v>116</v>
      </c>
      <c r="AO125" s="40"/>
      <c r="AQ125" s="26" t="n">
        <v>8.4</v>
      </c>
      <c r="AR125" s="26" t="n">
        <v>8.4</v>
      </c>
      <c r="AS125" s="26" t="n">
        <v>8.4</v>
      </c>
      <c r="AU125" s="19" t="n">
        <v>0</v>
      </c>
      <c r="AW125" s="19" t="s">
        <v>117</v>
      </c>
      <c r="AX125" s="69" t="n">
        <v>0</v>
      </c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</row>
    <row r="126" customFormat="false" ht="14.4" hidden="false" customHeight="false" outlineLevel="0" collapsed="false">
      <c r="A126" s="80" t="n">
        <f aca="false">(B126/83)*100</f>
        <v>1.08433734939759</v>
      </c>
      <c r="B126" s="14" t="n">
        <v>0.9</v>
      </c>
      <c r="D126" s="14" t="n">
        <f aca="false">E126/I126</f>
        <v>0.637540453074434</v>
      </c>
      <c r="E126" s="15" t="n">
        <f aca="false">(G126+F126)/2/H126</f>
        <v>328.333333333333</v>
      </c>
      <c r="F126" s="38" t="n">
        <v>920</v>
      </c>
      <c r="G126" s="17" t="n">
        <v>1050</v>
      </c>
      <c r="H126" s="39" t="n">
        <v>3</v>
      </c>
      <c r="I126" s="19" t="n">
        <v>515</v>
      </c>
      <c r="J126" s="64" t="n">
        <v>0.25</v>
      </c>
      <c r="N126" s="19" t="n">
        <v>1000</v>
      </c>
      <c r="Q126" s="19" t="n">
        <f aca="false">M126*N126</f>
        <v>0</v>
      </c>
      <c r="R126" s="21" t="n">
        <f aca="false">A126*N126</f>
        <v>1084.33734939759</v>
      </c>
      <c r="T126" s="22" t="n">
        <f aca="false">(G126-F126)/H126/E126</f>
        <v>0.131979695431472</v>
      </c>
      <c r="V126" s="0"/>
      <c r="W126" s="0"/>
      <c r="X126" s="0"/>
      <c r="Y126" s="0"/>
      <c r="Z126" s="40" t="s">
        <v>182</v>
      </c>
      <c r="AA126" s="19" t="s">
        <v>183</v>
      </c>
      <c r="AB126" s="41" t="n">
        <v>2013</v>
      </c>
      <c r="AC126" s="84" t="s">
        <v>184</v>
      </c>
      <c r="AE126" s="19" t="n">
        <v>270.5</v>
      </c>
      <c r="AK126" s="66" t="n">
        <f aca="false">1070/J126*1000000000000</f>
        <v>4280000000000000</v>
      </c>
      <c r="AL126" s="85" t="s">
        <v>185</v>
      </c>
      <c r="AM126" s="19" t="s">
        <v>116</v>
      </c>
      <c r="AO126" s="40"/>
      <c r="AQ126" s="26" t="n">
        <v>8.4</v>
      </c>
      <c r="AR126" s="26" t="n">
        <v>8.4</v>
      </c>
      <c r="AS126" s="26" t="n">
        <v>8.4</v>
      </c>
      <c r="AU126" s="19" t="n">
        <v>0</v>
      </c>
      <c r="AW126" s="19" t="s">
        <v>117</v>
      </c>
      <c r="AX126" s="69" t="n">
        <v>0</v>
      </c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</row>
    <row r="127" customFormat="false" ht="14.4" hidden="false" customHeight="false" outlineLevel="0" collapsed="false">
      <c r="A127" s="0"/>
      <c r="B127" s="0"/>
      <c r="C127" s="0"/>
      <c r="D127" s="14" t="n">
        <f aca="false">E127/I127</f>
        <v>0.506597222222222</v>
      </c>
      <c r="E127" s="15" t="n">
        <f aca="false">(G127+F127)/2/H127</f>
        <v>405.277777777778</v>
      </c>
      <c r="F127" s="38" t="n">
        <v>7120</v>
      </c>
      <c r="G127" s="17" t="n">
        <v>7470</v>
      </c>
      <c r="H127" s="39" t="n">
        <v>18</v>
      </c>
      <c r="I127" s="19" t="n">
        <v>800</v>
      </c>
      <c r="J127" s="0"/>
      <c r="K127" s="19" t="n">
        <v>3E-006</v>
      </c>
      <c r="M127" s="0"/>
      <c r="N127" s="19" t="n">
        <v>50</v>
      </c>
      <c r="O127" s="0"/>
      <c r="P127" s="0"/>
      <c r="Q127" s="19" t="n">
        <f aca="false">M127*N127</f>
        <v>0</v>
      </c>
      <c r="R127" s="21" t="n">
        <f aca="false">A127*N127</f>
        <v>0</v>
      </c>
      <c r="S127" s="0"/>
      <c r="T127" s="22" t="n">
        <f aca="false">(G127-F127)/H127/E127</f>
        <v>0.047978067169294</v>
      </c>
      <c r="U127" s="0"/>
      <c r="V127" s="0"/>
      <c r="W127" s="0"/>
      <c r="X127" s="0"/>
      <c r="Y127" s="0"/>
      <c r="Z127" s="40" t="s">
        <v>187</v>
      </c>
      <c r="AA127" s="19" t="s">
        <v>188</v>
      </c>
      <c r="AB127" s="41" t="n">
        <v>2007</v>
      </c>
      <c r="AC127" s="40" t="s">
        <v>189</v>
      </c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26" t="n">
        <v>14.2</v>
      </c>
      <c r="AR127" s="26" t="n">
        <v>9.5</v>
      </c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</row>
    <row r="128" customFormat="false" ht="14.4" hidden="false" customHeight="false" outlineLevel="0" collapsed="false">
      <c r="D128" s="14" t="e">
        <f aca="false">E128/I128</f>
        <v>#VALUE!</v>
      </c>
      <c r="E128" s="15" t="e">
        <f aca="false">(G128+F128)/2/H128</f>
        <v>#VALUE!</v>
      </c>
      <c r="F128" s="38" t="s">
        <v>190</v>
      </c>
      <c r="G128" s="38" t="s">
        <v>190</v>
      </c>
      <c r="H128" s="39"/>
      <c r="I128" s="19" t="n">
        <v>800</v>
      </c>
      <c r="K128" s="19" t="n">
        <v>3E-006</v>
      </c>
      <c r="L128" s="23"/>
      <c r="N128" s="19" t="n">
        <v>50</v>
      </c>
      <c r="R128" s="21" t="n">
        <f aca="false">A128*N128</f>
        <v>0</v>
      </c>
      <c r="T128" s="22" t="e">
        <f aca="false">(G128-F128)/H128/E128</f>
        <v>#VALUE!</v>
      </c>
      <c r="Z128" s="40" t="s">
        <v>187</v>
      </c>
      <c r="AA128" s="19" t="s">
        <v>188</v>
      </c>
      <c r="AB128" s="41" t="n">
        <v>2007</v>
      </c>
      <c r="AC128" s="40" t="s">
        <v>189</v>
      </c>
      <c r="AO128" s="40"/>
      <c r="AQ128" s="26" t="n">
        <v>11.8</v>
      </c>
      <c r="AR128" s="26" t="n">
        <v>8.5</v>
      </c>
      <c r="AX128" s="41"/>
    </row>
    <row r="129" customFormat="false" ht="14.4" hidden="false" customHeight="false" outlineLevel="0" collapsed="false">
      <c r="A129" s="0"/>
      <c r="B129" s="0"/>
      <c r="C129" s="0"/>
      <c r="D129" s="0"/>
      <c r="E129" s="15" t="n">
        <v>250</v>
      </c>
      <c r="F129" s="0"/>
      <c r="G129" s="0"/>
      <c r="H129" s="39" t="s">
        <v>191</v>
      </c>
      <c r="I129" s="19" t="n">
        <v>800</v>
      </c>
      <c r="J129" s="0"/>
      <c r="K129" s="19" t="n">
        <v>3E-006</v>
      </c>
      <c r="M129" s="0"/>
      <c r="N129" s="19" t="n">
        <v>50</v>
      </c>
      <c r="O129" s="0"/>
      <c r="P129" s="0"/>
      <c r="Q129" s="0"/>
      <c r="R129" s="21" t="n">
        <f aca="false">A129*N129</f>
        <v>0</v>
      </c>
      <c r="S129" s="0"/>
      <c r="T129" s="22" t="e">
        <f aca="false">(G129-F129)/H129/E129</f>
        <v>#VALUE!</v>
      </c>
      <c r="U129" s="0"/>
      <c r="V129" s="0"/>
      <c r="W129" s="0"/>
      <c r="X129" s="0"/>
      <c r="Y129" s="0"/>
      <c r="Z129" s="40" t="s">
        <v>187</v>
      </c>
      <c r="AA129" s="19" t="s">
        <v>188</v>
      </c>
      <c r="AB129" s="41" t="n">
        <v>2007</v>
      </c>
      <c r="AC129" s="40" t="s">
        <v>189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26" t="n">
        <v>11.8</v>
      </c>
      <c r="AR129" s="26" t="n">
        <v>8.5</v>
      </c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/>
      <c r="YV129" s="0"/>
      <c r="YW129" s="0"/>
      <c r="YX129" s="0"/>
      <c r="YY129" s="0"/>
      <c r="YZ129" s="0"/>
      <c r="ZA129" s="0"/>
      <c r="ZB129" s="0"/>
      <c r="ZC129" s="0"/>
      <c r="ZD129" s="0"/>
      <c r="ZE129" s="0"/>
      <c r="ZF129" s="0"/>
      <c r="ZG129" s="0"/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/>
      <c r="AAM129" s="0"/>
      <c r="AAN129" s="0"/>
      <c r="AAO129" s="0"/>
      <c r="AAP129" s="0"/>
      <c r="AAQ129" s="0"/>
      <c r="AAR129" s="0"/>
      <c r="AAS129" s="0"/>
      <c r="AAT129" s="0"/>
      <c r="AAU129" s="0"/>
      <c r="AAV129" s="0"/>
      <c r="AAW129" s="0"/>
      <c r="AAX129" s="0"/>
      <c r="AAY129" s="0"/>
      <c r="AAZ129" s="0"/>
      <c r="ABA129" s="0"/>
      <c r="ABB129" s="0"/>
      <c r="ABC129" s="0"/>
      <c r="ABD129" s="0"/>
      <c r="ABE129" s="0"/>
      <c r="ABF129" s="0"/>
      <c r="ABG129" s="0"/>
      <c r="ABH129" s="0"/>
      <c r="ABI129" s="0"/>
      <c r="ABJ129" s="0"/>
      <c r="ABK129" s="0"/>
      <c r="ABL129" s="0"/>
      <c r="ABM129" s="0"/>
      <c r="ABN129" s="0"/>
      <c r="ABO129" s="0"/>
      <c r="ABP129" s="0"/>
      <c r="ABQ129" s="0"/>
      <c r="ABR129" s="0"/>
      <c r="ABS129" s="0"/>
      <c r="ABT129" s="0"/>
      <c r="ABU129" s="0"/>
      <c r="ABV129" s="0"/>
      <c r="ABW129" s="0"/>
      <c r="ABX129" s="0"/>
      <c r="ABY129" s="0"/>
      <c r="ABZ129" s="0"/>
      <c r="ACA129" s="0"/>
      <c r="ACB129" s="0"/>
      <c r="ACC129" s="0"/>
      <c r="ACD129" s="0"/>
      <c r="ACE129" s="0"/>
      <c r="ACF129" s="0"/>
      <c r="ACG129" s="0"/>
      <c r="ACH129" s="0"/>
      <c r="ACI129" s="0"/>
      <c r="ACJ129" s="0"/>
      <c r="ACK129" s="0"/>
      <c r="ACL129" s="0"/>
      <c r="ACM129" s="0"/>
      <c r="ACN129" s="0"/>
      <c r="ACO129" s="0"/>
      <c r="ACP129" s="0"/>
      <c r="ACQ129" s="0"/>
      <c r="ACR129" s="0"/>
      <c r="ACS129" s="0"/>
      <c r="ACT129" s="0"/>
      <c r="ACU129" s="0"/>
      <c r="ACV129" s="0"/>
      <c r="ACW129" s="0"/>
      <c r="ACX129" s="0"/>
      <c r="ACY129" s="0"/>
      <c r="ACZ129" s="0"/>
      <c r="ADA129" s="0"/>
      <c r="ADB129" s="0"/>
      <c r="ADC129" s="0"/>
      <c r="ADD129" s="0"/>
      <c r="ADE129" s="0"/>
      <c r="ADF129" s="0"/>
      <c r="ADG129" s="0"/>
      <c r="ADH129" s="0"/>
      <c r="ADI129" s="0"/>
      <c r="ADJ129" s="0"/>
      <c r="ADK129" s="0"/>
      <c r="ADL129" s="0"/>
      <c r="ADM129" s="0"/>
      <c r="ADN129" s="0"/>
      <c r="ADO129" s="0"/>
      <c r="ADP129" s="0"/>
      <c r="ADQ129" s="0"/>
      <c r="ADR129" s="0"/>
      <c r="ADS129" s="0"/>
      <c r="ADT129" s="0"/>
      <c r="ADU129" s="0"/>
      <c r="ADV129" s="0"/>
      <c r="ADW129" s="0"/>
      <c r="ADX129" s="0"/>
      <c r="ADY129" s="0"/>
      <c r="ADZ129" s="0"/>
      <c r="AEA129" s="0"/>
      <c r="AEB129" s="0"/>
      <c r="AEC129" s="0"/>
      <c r="AED129" s="0"/>
      <c r="AEE129" s="0"/>
      <c r="AEF129" s="0"/>
      <c r="AEG129" s="0"/>
      <c r="AEH129" s="0"/>
      <c r="AEI129" s="0"/>
      <c r="AEJ129" s="0"/>
      <c r="AEK129" s="0"/>
      <c r="AEL129" s="0"/>
      <c r="AEM129" s="0"/>
      <c r="AEN129" s="0"/>
      <c r="AEO129" s="0"/>
      <c r="AEP129" s="0"/>
      <c r="AEQ129" s="0"/>
      <c r="AER129" s="0"/>
      <c r="AES129" s="0"/>
      <c r="AET129" s="0"/>
      <c r="AEU129" s="0"/>
      <c r="AEV129" s="0"/>
      <c r="AEW129" s="0"/>
      <c r="AEX129" s="0"/>
      <c r="AEY129" s="0"/>
      <c r="AEZ129" s="0"/>
      <c r="AFA129" s="0"/>
      <c r="AFB129" s="0"/>
      <c r="AFC129" s="0"/>
      <c r="AFD129" s="0"/>
      <c r="AFE129" s="0"/>
      <c r="AFF129" s="0"/>
      <c r="AFG129" s="0"/>
      <c r="AFH129" s="0"/>
      <c r="AFI129" s="0"/>
      <c r="AFJ129" s="0"/>
      <c r="AFK129" s="0"/>
      <c r="AFL129" s="0"/>
      <c r="AFM129" s="0"/>
      <c r="AFN129" s="0"/>
      <c r="AFO129" s="0"/>
      <c r="AFP129" s="0"/>
      <c r="AFQ129" s="0"/>
      <c r="AFR129" s="0"/>
      <c r="AFS129" s="0"/>
      <c r="AFT129" s="0"/>
      <c r="AFU129" s="0"/>
      <c r="AFV129" s="0"/>
      <c r="AFW129" s="0"/>
      <c r="AFX129" s="0"/>
      <c r="AFY129" s="0"/>
      <c r="AFZ129" s="0"/>
      <c r="AGA129" s="0"/>
      <c r="AGB129" s="0"/>
      <c r="AGC129" s="0"/>
      <c r="AGD129" s="0"/>
      <c r="AGE129" s="0"/>
      <c r="AGF129" s="0"/>
      <c r="AGG129" s="0"/>
      <c r="AGH129" s="0"/>
      <c r="AGI129" s="0"/>
      <c r="AGJ129" s="0"/>
      <c r="AGK129" s="0"/>
      <c r="AGL129" s="0"/>
      <c r="AGM129" s="0"/>
      <c r="AGN129" s="0"/>
      <c r="AGO129" s="0"/>
      <c r="AGP129" s="0"/>
      <c r="AGQ129" s="0"/>
      <c r="AGR129" s="0"/>
      <c r="AGS129" s="0"/>
      <c r="AGT129" s="0"/>
      <c r="AGU129" s="0"/>
      <c r="AGV129" s="0"/>
      <c r="AGW129" s="0"/>
      <c r="AGX129" s="0"/>
      <c r="AGY129" s="0"/>
      <c r="AGZ129" s="0"/>
      <c r="AHA129" s="0"/>
      <c r="AHB129" s="0"/>
      <c r="AHC129" s="0"/>
      <c r="AHD129" s="0"/>
      <c r="AHE129" s="0"/>
      <c r="AHF129" s="0"/>
      <c r="AHG129" s="0"/>
      <c r="AHH129" s="0"/>
      <c r="AHI129" s="0"/>
      <c r="AHJ129" s="0"/>
      <c r="AHK129" s="0"/>
      <c r="AHL129" s="0"/>
      <c r="AHM129" s="0"/>
      <c r="AHN129" s="0"/>
      <c r="AHO129" s="0"/>
      <c r="AHP129" s="0"/>
      <c r="AHQ129" s="0"/>
      <c r="AHR129" s="0"/>
      <c r="AHS129" s="0"/>
      <c r="AHT129" s="0"/>
      <c r="AHU129" s="0"/>
      <c r="AHV129" s="0"/>
      <c r="AHW129" s="0"/>
      <c r="AHX129" s="0"/>
      <c r="AHY129" s="0"/>
      <c r="AHZ129" s="0"/>
      <c r="AIA129" s="0"/>
      <c r="AIB129" s="0"/>
      <c r="AIC129" s="0"/>
      <c r="AID129" s="0"/>
      <c r="AIE129" s="0"/>
      <c r="AIF129" s="0"/>
      <c r="AIG129" s="0"/>
      <c r="AIH129" s="0"/>
      <c r="AII129" s="0"/>
      <c r="AIJ129" s="0"/>
      <c r="AIK129" s="0"/>
      <c r="AIL129" s="0"/>
      <c r="AIM129" s="0"/>
      <c r="AIN129" s="0"/>
      <c r="AIO129" s="0"/>
      <c r="AIP129" s="0"/>
      <c r="AIQ129" s="0"/>
      <c r="AIR129" s="0"/>
      <c r="AIS129" s="0"/>
      <c r="AIT129" s="0"/>
      <c r="AIU129" s="0"/>
      <c r="AIV129" s="0"/>
      <c r="AIW129" s="0"/>
      <c r="AIX129" s="0"/>
      <c r="AIY129" s="0"/>
      <c r="AIZ129" s="0"/>
      <c r="AJA129" s="0"/>
      <c r="AJB129" s="0"/>
      <c r="AJC129" s="0"/>
      <c r="AJD129" s="0"/>
      <c r="AJE129" s="0"/>
      <c r="AJF129" s="0"/>
      <c r="AJG129" s="0"/>
      <c r="AJH129" s="0"/>
      <c r="AJI129" s="0"/>
      <c r="AJJ129" s="0"/>
      <c r="AJK129" s="0"/>
      <c r="AJL129" s="0"/>
      <c r="AJM129" s="0"/>
      <c r="AJN129" s="0"/>
      <c r="AJO129" s="0"/>
      <c r="AJP129" s="0"/>
      <c r="AJQ129" s="0"/>
      <c r="AJR129" s="0"/>
      <c r="AJS129" s="0"/>
      <c r="AJT129" s="0"/>
      <c r="AJU129" s="0"/>
      <c r="AJV129" s="0"/>
      <c r="AJW129" s="0"/>
      <c r="AJX129" s="0"/>
      <c r="AJY129" s="0"/>
      <c r="AJZ129" s="0"/>
      <c r="AKA129" s="0"/>
      <c r="AKB129" s="0"/>
      <c r="AKC129" s="0"/>
      <c r="AKD129" s="0"/>
      <c r="AKE129" s="0"/>
      <c r="AKF129" s="0"/>
      <c r="AKG129" s="0"/>
      <c r="AKH129" s="0"/>
      <c r="AKI129" s="0"/>
      <c r="AKJ129" s="0"/>
      <c r="AKK129" s="0"/>
      <c r="AKL129" s="0"/>
      <c r="AKM129" s="0"/>
      <c r="AKN129" s="0"/>
      <c r="AKO129" s="0"/>
      <c r="AKP129" s="0"/>
      <c r="AKQ129" s="0"/>
      <c r="AKR129" s="0"/>
      <c r="AKS129" s="0"/>
      <c r="AKT129" s="0"/>
      <c r="AKU129" s="0"/>
      <c r="AKV129" s="0"/>
      <c r="AKW129" s="0"/>
      <c r="AKX129" s="0"/>
      <c r="AKY129" s="0"/>
      <c r="AKZ129" s="0"/>
      <c r="ALA129" s="0"/>
      <c r="ALB129" s="0"/>
      <c r="ALC129" s="0"/>
      <c r="ALD129" s="0"/>
      <c r="ALE129" s="0"/>
      <c r="ALF129" s="0"/>
      <c r="ALG129" s="0"/>
      <c r="ALH129" s="0"/>
      <c r="ALI129" s="0"/>
      <c r="ALJ129" s="0"/>
      <c r="ALK129" s="0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</row>
    <row r="130" customFormat="false" ht="14.4" hidden="false" customHeight="false" outlineLevel="0" collapsed="false">
      <c r="E130" s="15" t="n">
        <f aca="false">(G130+F130)/2/H130</f>
        <v>519.444444444444</v>
      </c>
      <c r="F130" s="38" t="n">
        <v>4620</v>
      </c>
      <c r="G130" s="17" t="n">
        <v>4730</v>
      </c>
      <c r="H130" s="39" t="n">
        <v>9</v>
      </c>
      <c r="I130" s="19" t="n">
        <v>800</v>
      </c>
      <c r="K130" s="19" t="n">
        <v>3E-006</v>
      </c>
      <c r="L130" s="23"/>
      <c r="N130" s="19" t="n">
        <v>50</v>
      </c>
      <c r="R130" s="21" t="n">
        <f aca="false">A130*N130</f>
        <v>0</v>
      </c>
      <c r="T130" s="22" t="n">
        <f aca="false">(G130-F130)/H130/E130</f>
        <v>0.0235294117647059</v>
      </c>
      <c r="Z130" s="40" t="s">
        <v>187</v>
      </c>
      <c r="AA130" s="19" t="s">
        <v>188</v>
      </c>
      <c r="AB130" s="41" t="n">
        <v>2007</v>
      </c>
      <c r="AC130" s="40" t="s">
        <v>189</v>
      </c>
      <c r="AO130" s="40"/>
      <c r="AQ130" s="26" t="n">
        <v>21.2</v>
      </c>
      <c r="AR130" s="26" t="n">
        <v>15.9</v>
      </c>
      <c r="AX130" s="41"/>
    </row>
    <row r="131" customFormat="false" ht="14.4" hidden="false" customHeight="false" outlineLevel="0" collapsed="false">
      <c r="A131" s="0"/>
      <c r="B131" s="0"/>
      <c r="C131" s="0"/>
      <c r="D131" s="0"/>
      <c r="E131" s="15" t="n">
        <v>500</v>
      </c>
      <c r="F131" s="0"/>
      <c r="G131" s="0"/>
      <c r="H131" s="39" t="s">
        <v>191</v>
      </c>
      <c r="I131" s="19" t="n">
        <v>800</v>
      </c>
      <c r="J131" s="0"/>
      <c r="K131" s="19" t="n">
        <v>3E-006</v>
      </c>
      <c r="M131" s="0"/>
      <c r="N131" s="19" t="n">
        <v>50</v>
      </c>
      <c r="O131" s="0"/>
      <c r="P131" s="0"/>
      <c r="Q131" s="0"/>
      <c r="R131" s="21" t="n">
        <f aca="false">A131*N131</f>
        <v>0</v>
      </c>
      <c r="S131" s="0"/>
      <c r="T131" s="22" t="e">
        <f aca="false">(G131-F131)/H131/E131</f>
        <v>#VALUE!</v>
      </c>
      <c r="U131" s="0"/>
      <c r="V131" s="0"/>
      <c r="W131" s="0"/>
      <c r="X131" s="0"/>
      <c r="Y131" s="0"/>
      <c r="Z131" s="40" t="s">
        <v>187</v>
      </c>
      <c r="AA131" s="19" t="s">
        <v>188</v>
      </c>
      <c r="AB131" s="41" t="n">
        <v>2007</v>
      </c>
      <c r="AC131" s="40" t="s">
        <v>189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26" t="n">
        <v>21.2</v>
      </c>
      <c r="AR131" s="26" t="n">
        <v>15.9</v>
      </c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  <c r="OJ131" s="0"/>
      <c r="OK131" s="0"/>
      <c r="OL131" s="0"/>
      <c r="OM131" s="0"/>
      <c r="ON131" s="0"/>
      <c r="OO131" s="0"/>
      <c r="OP131" s="0"/>
      <c r="OQ131" s="0"/>
      <c r="OR131" s="0"/>
      <c r="OS131" s="0"/>
      <c r="OT131" s="0"/>
      <c r="OU131" s="0"/>
      <c r="OV131" s="0"/>
      <c r="OW131" s="0"/>
      <c r="OX131" s="0"/>
      <c r="OY131" s="0"/>
      <c r="OZ131" s="0"/>
      <c r="PA131" s="0"/>
      <c r="PB131" s="0"/>
      <c r="PC131" s="0"/>
      <c r="PD131" s="0"/>
      <c r="PE131" s="0"/>
      <c r="PF131" s="0"/>
      <c r="PG131" s="0"/>
      <c r="PH131" s="0"/>
      <c r="PI131" s="0"/>
      <c r="PJ131" s="0"/>
      <c r="PK131" s="0"/>
      <c r="PL131" s="0"/>
      <c r="PM131" s="0"/>
      <c r="PN131" s="0"/>
      <c r="PO131" s="0"/>
      <c r="PP131" s="0"/>
      <c r="PQ131" s="0"/>
      <c r="PR131" s="0"/>
      <c r="PS131" s="0"/>
      <c r="PT131" s="0"/>
      <c r="PU131" s="0"/>
      <c r="PV131" s="0"/>
      <c r="PW131" s="0"/>
      <c r="PX131" s="0"/>
      <c r="PY131" s="0"/>
      <c r="PZ131" s="0"/>
      <c r="QA131" s="0"/>
      <c r="QB131" s="0"/>
      <c r="QC131" s="0"/>
      <c r="QD131" s="0"/>
      <c r="QE131" s="0"/>
      <c r="QF131" s="0"/>
      <c r="QG131" s="0"/>
      <c r="QH131" s="0"/>
      <c r="QI131" s="0"/>
      <c r="QJ131" s="0"/>
      <c r="QK131" s="0"/>
      <c r="QL131" s="0"/>
      <c r="QM131" s="0"/>
      <c r="QN131" s="0"/>
      <c r="QO131" s="0"/>
      <c r="QP131" s="0"/>
      <c r="QQ131" s="0"/>
      <c r="QR131" s="0"/>
      <c r="QS131" s="0"/>
      <c r="QT131" s="0"/>
      <c r="QU131" s="0"/>
      <c r="QV131" s="0"/>
      <c r="QW131" s="0"/>
      <c r="QX131" s="0"/>
      <c r="QY131" s="0"/>
      <c r="QZ131" s="0"/>
      <c r="RA131" s="0"/>
      <c r="RB131" s="0"/>
      <c r="RC131" s="0"/>
      <c r="RD131" s="0"/>
      <c r="RE131" s="0"/>
      <c r="RF131" s="0"/>
      <c r="RG131" s="0"/>
      <c r="RH131" s="0"/>
      <c r="RI131" s="0"/>
      <c r="RJ131" s="0"/>
      <c r="RK131" s="0"/>
      <c r="RL131" s="0"/>
      <c r="RM131" s="0"/>
      <c r="RN131" s="0"/>
      <c r="RO131" s="0"/>
      <c r="RP131" s="0"/>
      <c r="RQ131" s="0"/>
      <c r="RR131" s="0"/>
      <c r="RS131" s="0"/>
      <c r="RT131" s="0"/>
      <c r="RU131" s="0"/>
      <c r="RV131" s="0"/>
      <c r="RW131" s="0"/>
      <c r="RX131" s="0"/>
      <c r="RY131" s="0"/>
      <c r="RZ131" s="0"/>
      <c r="SA131" s="0"/>
      <c r="SB131" s="0"/>
      <c r="SC131" s="0"/>
      <c r="SD131" s="0"/>
      <c r="SE131" s="0"/>
      <c r="SF131" s="0"/>
      <c r="SG131" s="0"/>
      <c r="SH131" s="0"/>
      <c r="SI131" s="0"/>
      <c r="SJ131" s="0"/>
      <c r="SK131" s="0"/>
      <c r="SL131" s="0"/>
      <c r="SM131" s="0"/>
      <c r="SN131" s="0"/>
      <c r="SO131" s="0"/>
      <c r="SP131" s="0"/>
      <c r="SQ131" s="0"/>
      <c r="SR131" s="0"/>
      <c r="SS131" s="0"/>
      <c r="ST131" s="0"/>
      <c r="SU131" s="0"/>
      <c r="SV131" s="0"/>
      <c r="SW131" s="0"/>
      <c r="SX131" s="0"/>
      <c r="SY131" s="0"/>
      <c r="SZ131" s="0"/>
      <c r="TA131" s="0"/>
      <c r="TB131" s="0"/>
      <c r="TC131" s="0"/>
      <c r="TD131" s="0"/>
      <c r="TE131" s="0"/>
      <c r="TF131" s="0"/>
      <c r="TG131" s="0"/>
      <c r="TH131" s="0"/>
      <c r="TI131" s="0"/>
      <c r="TJ131" s="0"/>
      <c r="TK131" s="0"/>
      <c r="TL131" s="0"/>
      <c r="TM131" s="0"/>
      <c r="TN131" s="0"/>
      <c r="TO131" s="0"/>
      <c r="TP131" s="0"/>
      <c r="TQ131" s="0"/>
      <c r="TR131" s="0"/>
      <c r="TS131" s="0"/>
      <c r="TT131" s="0"/>
      <c r="TU131" s="0"/>
      <c r="TV131" s="0"/>
      <c r="TW131" s="0"/>
      <c r="TX131" s="0"/>
      <c r="TY131" s="0"/>
      <c r="TZ131" s="0"/>
      <c r="UA131" s="0"/>
      <c r="UB131" s="0"/>
      <c r="UC131" s="0"/>
      <c r="UD131" s="0"/>
      <c r="UE131" s="0"/>
      <c r="UF131" s="0"/>
      <c r="UG131" s="0"/>
      <c r="UH131" s="0"/>
      <c r="UI131" s="0"/>
      <c r="UJ131" s="0"/>
      <c r="UK131" s="0"/>
      <c r="UL131" s="0"/>
      <c r="UM131" s="0"/>
      <c r="UN131" s="0"/>
      <c r="UO131" s="0"/>
      <c r="UP131" s="0"/>
      <c r="UQ131" s="0"/>
      <c r="UR131" s="0"/>
      <c r="US131" s="0"/>
      <c r="UT131" s="0"/>
      <c r="UU131" s="0"/>
      <c r="UV131" s="0"/>
      <c r="UW131" s="0"/>
      <c r="UX131" s="0"/>
      <c r="UY131" s="0"/>
      <c r="UZ131" s="0"/>
      <c r="VA131" s="0"/>
      <c r="VB131" s="0"/>
      <c r="VC131" s="0"/>
      <c r="VD131" s="0"/>
      <c r="VE131" s="0"/>
      <c r="VF131" s="0"/>
      <c r="VG131" s="0"/>
      <c r="VH131" s="0"/>
      <c r="VI131" s="0"/>
      <c r="VJ131" s="0"/>
      <c r="VK131" s="0"/>
      <c r="VL131" s="0"/>
      <c r="VM131" s="0"/>
      <c r="VN131" s="0"/>
      <c r="VO131" s="0"/>
      <c r="VP131" s="0"/>
      <c r="VQ131" s="0"/>
      <c r="VR131" s="0"/>
      <c r="VS131" s="0"/>
      <c r="VT131" s="0"/>
      <c r="VU131" s="0"/>
      <c r="VV131" s="0"/>
      <c r="VW131" s="0"/>
      <c r="VX131" s="0"/>
      <c r="VY131" s="0"/>
      <c r="VZ131" s="0"/>
      <c r="WA131" s="0"/>
      <c r="WB131" s="0"/>
      <c r="WC131" s="0"/>
      <c r="WD131" s="0"/>
      <c r="WE131" s="0"/>
      <c r="WF131" s="0"/>
      <c r="WG131" s="0"/>
      <c r="WH131" s="0"/>
      <c r="WI131" s="0"/>
      <c r="WJ131" s="0"/>
      <c r="WK131" s="0"/>
      <c r="WL131" s="0"/>
      <c r="WM131" s="0"/>
      <c r="WN131" s="0"/>
      <c r="WO131" s="0"/>
      <c r="WP131" s="0"/>
      <c r="WQ131" s="0"/>
      <c r="WR131" s="0"/>
      <c r="WS131" s="0"/>
      <c r="WT131" s="0"/>
      <c r="WU131" s="0"/>
      <c r="WV131" s="0"/>
      <c r="WW131" s="0"/>
      <c r="WX131" s="0"/>
      <c r="WY131" s="0"/>
      <c r="WZ131" s="0"/>
      <c r="XA131" s="0"/>
      <c r="XB131" s="0"/>
      <c r="XC131" s="0"/>
      <c r="XD131" s="0"/>
      <c r="XE131" s="0"/>
      <c r="XF131" s="0"/>
      <c r="XG131" s="0"/>
      <c r="XH131" s="0"/>
      <c r="XI131" s="0"/>
      <c r="XJ131" s="0"/>
      <c r="XK131" s="0"/>
      <c r="XL131" s="0"/>
      <c r="XM131" s="0"/>
      <c r="XN131" s="0"/>
      <c r="XO131" s="0"/>
      <c r="XP131" s="0"/>
      <c r="XQ131" s="0"/>
      <c r="XR131" s="0"/>
      <c r="XS131" s="0"/>
      <c r="XT131" s="0"/>
      <c r="XU131" s="0"/>
      <c r="XV131" s="0"/>
      <c r="XW131" s="0"/>
      <c r="XX131" s="0"/>
      <c r="XY131" s="0"/>
      <c r="XZ131" s="0"/>
      <c r="YA131" s="0"/>
      <c r="YB131" s="0"/>
      <c r="YC131" s="0"/>
      <c r="YD131" s="0"/>
      <c r="YE131" s="0"/>
      <c r="YF131" s="0"/>
      <c r="YG131" s="0"/>
      <c r="YH131" s="0"/>
      <c r="YI131" s="0"/>
      <c r="YJ131" s="0"/>
      <c r="YK131" s="0"/>
      <c r="YL131" s="0"/>
      <c r="YM131" s="0"/>
      <c r="YN131" s="0"/>
      <c r="YO131" s="0"/>
      <c r="YP131" s="0"/>
      <c r="YQ131" s="0"/>
      <c r="YR131" s="0"/>
      <c r="YS131" s="0"/>
      <c r="YT131" s="0"/>
      <c r="YU131" s="0"/>
      <c r="YV131" s="0"/>
      <c r="YW131" s="0"/>
      <c r="YX131" s="0"/>
      <c r="YY131" s="0"/>
      <c r="YZ131" s="0"/>
      <c r="ZA131" s="0"/>
      <c r="ZB131" s="0"/>
      <c r="ZC131" s="0"/>
      <c r="ZD131" s="0"/>
      <c r="ZE131" s="0"/>
      <c r="ZF131" s="0"/>
      <c r="ZG131" s="0"/>
      <c r="ZH131" s="0"/>
      <c r="ZI131" s="0"/>
      <c r="ZJ131" s="0"/>
      <c r="ZK131" s="0"/>
      <c r="ZL131" s="0"/>
      <c r="ZM131" s="0"/>
      <c r="ZN131" s="0"/>
      <c r="ZO131" s="0"/>
      <c r="ZP131" s="0"/>
      <c r="ZQ131" s="0"/>
      <c r="ZR131" s="0"/>
      <c r="ZS131" s="0"/>
      <c r="ZT131" s="0"/>
      <c r="ZU131" s="0"/>
      <c r="ZV131" s="0"/>
      <c r="ZW131" s="0"/>
      <c r="ZX131" s="0"/>
      <c r="ZY131" s="0"/>
      <c r="ZZ131" s="0"/>
      <c r="AAA131" s="0"/>
      <c r="AAB131" s="0"/>
      <c r="AAC131" s="0"/>
      <c r="AAD131" s="0"/>
      <c r="AAE131" s="0"/>
      <c r="AAF131" s="0"/>
      <c r="AAG131" s="0"/>
      <c r="AAH131" s="0"/>
      <c r="AAI131" s="0"/>
      <c r="AAJ131" s="0"/>
      <c r="AAK131" s="0"/>
      <c r="AAL131" s="0"/>
      <c r="AAM131" s="0"/>
      <c r="AAN131" s="0"/>
      <c r="AAO131" s="0"/>
      <c r="AAP131" s="0"/>
      <c r="AAQ131" s="0"/>
      <c r="AAR131" s="0"/>
      <c r="AAS131" s="0"/>
      <c r="AAT131" s="0"/>
      <c r="AAU131" s="0"/>
      <c r="AAV131" s="0"/>
      <c r="AAW131" s="0"/>
      <c r="AAX131" s="0"/>
      <c r="AAY131" s="0"/>
      <c r="AAZ131" s="0"/>
      <c r="ABA131" s="0"/>
      <c r="ABB131" s="0"/>
      <c r="ABC131" s="0"/>
      <c r="ABD131" s="0"/>
      <c r="ABE131" s="0"/>
      <c r="ABF131" s="0"/>
      <c r="ABG131" s="0"/>
      <c r="ABH131" s="0"/>
      <c r="ABI131" s="0"/>
      <c r="ABJ131" s="0"/>
      <c r="ABK131" s="0"/>
      <c r="ABL131" s="0"/>
      <c r="ABM131" s="0"/>
      <c r="ABN131" s="0"/>
      <c r="ABO131" s="0"/>
      <c r="ABP131" s="0"/>
      <c r="ABQ131" s="0"/>
      <c r="ABR131" s="0"/>
      <c r="ABS131" s="0"/>
      <c r="ABT131" s="0"/>
      <c r="ABU131" s="0"/>
      <c r="ABV131" s="0"/>
      <c r="ABW131" s="0"/>
      <c r="ABX131" s="0"/>
      <c r="ABY131" s="0"/>
      <c r="ABZ131" s="0"/>
      <c r="ACA131" s="0"/>
      <c r="ACB131" s="0"/>
      <c r="ACC131" s="0"/>
      <c r="ACD131" s="0"/>
      <c r="ACE131" s="0"/>
      <c r="ACF131" s="0"/>
      <c r="ACG131" s="0"/>
      <c r="ACH131" s="0"/>
      <c r="ACI131" s="0"/>
      <c r="ACJ131" s="0"/>
      <c r="ACK131" s="0"/>
      <c r="ACL131" s="0"/>
      <c r="ACM131" s="0"/>
      <c r="ACN131" s="0"/>
      <c r="ACO131" s="0"/>
      <c r="ACP131" s="0"/>
      <c r="ACQ131" s="0"/>
      <c r="ACR131" s="0"/>
      <c r="ACS131" s="0"/>
      <c r="ACT131" s="0"/>
      <c r="ACU131" s="0"/>
      <c r="ACV131" s="0"/>
      <c r="ACW131" s="0"/>
      <c r="ACX131" s="0"/>
      <c r="ACY131" s="0"/>
      <c r="ACZ131" s="0"/>
      <c r="ADA131" s="0"/>
      <c r="ADB131" s="0"/>
      <c r="ADC131" s="0"/>
      <c r="ADD131" s="0"/>
      <c r="ADE131" s="0"/>
      <c r="ADF131" s="0"/>
      <c r="ADG131" s="0"/>
      <c r="ADH131" s="0"/>
      <c r="ADI131" s="0"/>
      <c r="ADJ131" s="0"/>
      <c r="ADK131" s="0"/>
      <c r="ADL131" s="0"/>
      <c r="ADM131" s="0"/>
      <c r="ADN131" s="0"/>
      <c r="ADO131" s="0"/>
      <c r="ADP131" s="0"/>
      <c r="ADQ131" s="0"/>
      <c r="ADR131" s="0"/>
      <c r="ADS131" s="0"/>
      <c r="ADT131" s="0"/>
      <c r="ADU131" s="0"/>
      <c r="ADV131" s="0"/>
      <c r="ADW131" s="0"/>
      <c r="ADX131" s="0"/>
      <c r="ADY131" s="0"/>
      <c r="ADZ131" s="0"/>
      <c r="AEA131" s="0"/>
      <c r="AEB131" s="0"/>
      <c r="AEC131" s="0"/>
      <c r="AED131" s="0"/>
      <c r="AEE131" s="0"/>
      <c r="AEF131" s="0"/>
      <c r="AEG131" s="0"/>
      <c r="AEH131" s="0"/>
      <c r="AEI131" s="0"/>
      <c r="AEJ131" s="0"/>
      <c r="AEK131" s="0"/>
      <c r="AEL131" s="0"/>
      <c r="AEM131" s="0"/>
      <c r="AEN131" s="0"/>
      <c r="AEO131" s="0"/>
      <c r="AEP131" s="0"/>
      <c r="AEQ131" s="0"/>
      <c r="AER131" s="0"/>
      <c r="AES131" s="0"/>
      <c r="AET131" s="0"/>
      <c r="AEU131" s="0"/>
      <c r="AEV131" s="0"/>
      <c r="AEW131" s="0"/>
      <c r="AEX131" s="0"/>
      <c r="AEY131" s="0"/>
      <c r="AEZ131" s="0"/>
      <c r="AFA131" s="0"/>
      <c r="AFB131" s="0"/>
      <c r="AFC131" s="0"/>
      <c r="AFD131" s="0"/>
      <c r="AFE131" s="0"/>
      <c r="AFF131" s="0"/>
      <c r="AFG131" s="0"/>
      <c r="AFH131" s="0"/>
      <c r="AFI131" s="0"/>
      <c r="AFJ131" s="0"/>
      <c r="AFK131" s="0"/>
      <c r="AFL131" s="0"/>
      <c r="AFM131" s="0"/>
      <c r="AFN131" s="0"/>
      <c r="AFO131" s="0"/>
      <c r="AFP131" s="0"/>
      <c r="AFQ131" s="0"/>
      <c r="AFR131" s="0"/>
      <c r="AFS131" s="0"/>
      <c r="AFT131" s="0"/>
      <c r="AFU131" s="0"/>
      <c r="AFV131" s="0"/>
      <c r="AFW131" s="0"/>
      <c r="AFX131" s="0"/>
      <c r="AFY131" s="0"/>
      <c r="AFZ131" s="0"/>
      <c r="AGA131" s="0"/>
      <c r="AGB131" s="0"/>
      <c r="AGC131" s="0"/>
      <c r="AGD131" s="0"/>
      <c r="AGE131" s="0"/>
      <c r="AGF131" s="0"/>
      <c r="AGG131" s="0"/>
      <c r="AGH131" s="0"/>
      <c r="AGI131" s="0"/>
      <c r="AGJ131" s="0"/>
      <c r="AGK131" s="0"/>
      <c r="AGL131" s="0"/>
      <c r="AGM131" s="0"/>
      <c r="AGN131" s="0"/>
      <c r="AGO131" s="0"/>
      <c r="AGP131" s="0"/>
      <c r="AGQ131" s="0"/>
      <c r="AGR131" s="0"/>
      <c r="AGS131" s="0"/>
      <c r="AGT131" s="0"/>
      <c r="AGU131" s="0"/>
      <c r="AGV131" s="0"/>
      <c r="AGW131" s="0"/>
      <c r="AGX131" s="0"/>
      <c r="AGY131" s="0"/>
      <c r="AGZ131" s="0"/>
      <c r="AHA131" s="0"/>
      <c r="AHB131" s="0"/>
      <c r="AHC131" s="0"/>
      <c r="AHD131" s="0"/>
      <c r="AHE131" s="0"/>
      <c r="AHF131" s="0"/>
      <c r="AHG131" s="0"/>
      <c r="AHH131" s="0"/>
      <c r="AHI131" s="0"/>
      <c r="AHJ131" s="0"/>
      <c r="AHK131" s="0"/>
      <c r="AHL131" s="0"/>
      <c r="AHM131" s="0"/>
      <c r="AHN131" s="0"/>
      <c r="AHO131" s="0"/>
      <c r="AHP131" s="0"/>
      <c r="AHQ131" s="0"/>
      <c r="AHR131" s="0"/>
      <c r="AHS131" s="0"/>
      <c r="AHT131" s="0"/>
      <c r="AHU131" s="0"/>
      <c r="AHV131" s="0"/>
      <c r="AHW131" s="0"/>
      <c r="AHX131" s="0"/>
      <c r="AHY131" s="0"/>
      <c r="AHZ131" s="0"/>
      <c r="AIA131" s="0"/>
      <c r="AIB131" s="0"/>
      <c r="AIC131" s="0"/>
      <c r="AID131" s="0"/>
      <c r="AIE131" s="0"/>
      <c r="AIF131" s="0"/>
      <c r="AIG131" s="0"/>
      <c r="AIH131" s="0"/>
      <c r="AII131" s="0"/>
      <c r="AIJ131" s="0"/>
      <c r="AIK131" s="0"/>
      <c r="AIL131" s="0"/>
      <c r="AIM131" s="0"/>
      <c r="AIN131" s="0"/>
      <c r="AIO131" s="0"/>
      <c r="AIP131" s="0"/>
      <c r="AIQ131" s="0"/>
      <c r="AIR131" s="0"/>
      <c r="AIS131" s="0"/>
      <c r="AIT131" s="0"/>
      <c r="AIU131" s="0"/>
      <c r="AIV131" s="0"/>
      <c r="AIW131" s="0"/>
      <c r="AIX131" s="0"/>
      <c r="AIY131" s="0"/>
      <c r="AIZ131" s="0"/>
      <c r="AJA131" s="0"/>
      <c r="AJB131" s="0"/>
      <c r="AJC131" s="0"/>
      <c r="AJD131" s="0"/>
      <c r="AJE131" s="0"/>
      <c r="AJF131" s="0"/>
      <c r="AJG131" s="0"/>
      <c r="AJH131" s="0"/>
      <c r="AJI131" s="0"/>
      <c r="AJJ131" s="0"/>
      <c r="AJK131" s="0"/>
      <c r="AJL131" s="0"/>
      <c r="AJM131" s="0"/>
      <c r="AJN131" s="0"/>
      <c r="AJO131" s="0"/>
      <c r="AJP131" s="0"/>
      <c r="AJQ131" s="0"/>
      <c r="AJR131" s="0"/>
      <c r="AJS131" s="0"/>
      <c r="AJT131" s="0"/>
      <c r="AJU131" s="0"/>
      <c r="AJV131" s="0"/>
      <c r="AJW131" s="0"/>
      <c r="AJX131" s="0"/>
      <c r="AJY131" s="0"/>
      <c r="AJZ131" s="0"/>
      <c r="AKA131" s="0"/>
      <c r="AKB131" s="0"/>
      <c r="AKC131" s="0"/>
      <c r="AKD131" s="0"/>
      <c r="AKE131" s="0"/>
      <c r="AKF131" s="0"/>
      <c r="AKG131" s="0"/>
      <c r="AKH131" s="0"/>
      <c r="AKI131" s="0"/>
      <c r="AKJ131" s="0"/>
      <c r="AKK131" s="0"/>
      <c r="AKL131" s="0"/>
      <c r="AKM131" s="0"/>
      <c r="AKN131" s="0"/>
      <c r="AKO131" s="0"/>
      <c r="AKP131" s="0"/>
      <c r="AKQ131" s="0"/>
      <c r="AKR131" s="0"/>
      <c r="AKS131" s="0"/>
      <c r="AKT131" s="0"/>
      <c r="AKU131" s="0"/>
      <c r="AKV131" s="0"/>
      <c r="AKW131" s="0"/>
      <c r="AKX131" s="0"/>
      <c r="AKY131" s="0"/>
      <c r="AKZ131" s="0"/>
      <c r="ALA131" s="0"/>
      <c r="ALB131" s="0"/>
      <c r="ALC131" s="0"/>
      <c r="ALD131" s="0"/>
      <c r="ALE131" s="0"/>
      <c r="ALF131" s="0"/>
      <c r="ALG131" s="0"/>
      <c r="ALH131" s="0"/>
      <c r="ALI131" s="0"/>
      <c r="ALJ131" s="0"/>
      <c r="ALK131" s="0"/>
      <c r="ALL131" s="0"/>
      <c r="ALM131" s="0"/>
      <c r="ALN131" s="0"/>
      <c r="ALO131" s="0"/>
      <c r="ALP131" s="0"/>
      <c r="ALQ131" s="0"/>
      <c r="ALR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</row>
    <row r="132" customFormat="false" ht="14.4" hidden="false" customHeight="false" outlineLevel="0" collapsed="false">
      <c r="A132" s="0"/>
      <c r="B132" s="0"/>
      <c r="C132" s="0"/>
      <c r="D132" s="0"/>
      <c r="E132" s="15" t="n">
        <v>500</v>
      </c>
      <c r="F132" s="0"/>
      <c r="G132" s="0"/>
      <c r="H132" s="39" t="s">
        <v>191</v>
      </c>
      <c r="I132" s="19" t="n">
        <v>800</v>
      </c>
      <c r="J132" s="19" t="n">
        <v>0.15</v>
      </c>
      <c r="K132" s="0"/>
      <c r="M132" s="0"/>
      <c r="N132" s="0"/>
      <c r="O132" s="19" t="n">
        <v>0.002</v>
      </c>
      <c r="P132" s="0"/>
      <c r="Q132" s="86" t="s">
        <v>192</v>
      </c>
      <c r="R132" s="21" t="n">
        <f aca="false">A132*N132</f>
        <v>0</v>
      </c>
      <c r="S132" s="0"/>
      <c r="T132" s="22" t="e">
        <f aca="false">(G132-F132)/H132/E132</f>
        <v>#VALUE!</v>
      </c>
      <c r="U132" s="0"/>
      <c r="V132" s="0"/>
      <c r="W132" s="0"/>
      <c r="X132" s="0"/>
      <c r="Y132" s="0"/>
      <c r="Z132" s="40" t="s">
        <v>193</v>
      </c>
      <c r="AA132" s="19" t="s">
        <v>194</v>
      </c>
      <c r="AB132" s="41" t="n">
        <v>2015</v>
      </c>
      <c r="AC132" s="87" t="s">
        <v>184</v>
      </c>
      <c r="AD132" s="0"/>
      <c r="AE132" s="19" t="n">
        <v>350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41" t="n">
        <v>0</v>
      </c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  <c r="OJ132" s="0"/>
      <c r="OK132" s="0"/>
      <c r="OL132" s="0"/>
      <c r="OM132" s="0"/>
      <c r="ON132" s="0"/>
      <c r="OO132" s="0"/>
      <c r="OP132" s="0"/>
      <c r="OQ132" s="0"/>
      <c r="OR132" s="0"/>
      <c r="OS132" s="0"/>
      <c r="OT132" s="0"/>
      <c r="OU132" s="0"/>
      <c r="OV132" s="0"/>
      <c r="OW132" s="0"/>
      <c r="OX132" s="0"/>
      <c r="OY132" s="0"/>
      <c r="OZ132" s="0"/>
      <c r="PA132" s="0"/>
      <c r="PB132" s="0"/>
      <c r="PC132" s="0"/>
      <c r="PD132" s="0"/>
      <c r="PE132" s="0"/>
      <c r="PF132" s="0"/>
      <c r="PG132" s="0"/>
      <c r="PH132" s="0"/>
      <c r="PI132" s="0"/>
      <c r="PJ132" s="0"/>
      <c r="PK132" s="0"/>
      <c r="PL132" s="0"/>
      <c r="PM132" s="0"/>
      <c r="PN132" s="0"/>
      <c r="PO132" s="0"/>
      <c r="PP132" s="0"/>
      <c r="PQ132" s="0"/>
      <c r="PR132" s="0"/>
      <c r="PS132" s="0"/>
      <c r="PT132" s="0"/>
      <c r="PU132" s="0"/>
      <c r="PV132" s="0"/>
      <c r="PW132" s="0"/>
      <c r="PX132" s="0"/>
      <c r="PY132" s="0"/>
      <c r="PZ132" s="0"/>
      <c r="QA132" s="0"/>
      <c r="QB132" s="0"/>
      <c r="QC132" s="0"/>
      <c r="QD132" s="0"/>
      <c r="QE132" s="0"/>
      <c r="QF132" s="0"/>
      <c r="QG132" s="0"/>
      <c r="QH132" s="0"/>
      <c r="QI132" s="0"/>
      <c r="QJ132" s="0"/>
      <c r="QK132" s="0"/>
      <c r="QL132" s="0"/>
      <c r="QM132" s="0"/>
      <c r="QN132" s="0"/>
      <c r="QO132" s="0"/>
      <c r="QP132" s="0"/>
      <c r="QQ132" s="0"/>
      <c r="QR132" s="0"/>
      <c r="QS132" s="0"/>
      <c r="QT132" s="0"/>
      <c r="QU132" s="0"/>
      <c r="QV132" s="0"/>
      <c r="QW132" s="0"/>
      <c r="QX132" s="0"/>
      <c r="QY132" s="0"/>
      <c r="QZ132" s="0"/>
      <c r="RA132" s="0"/>
      <c r="RB132" s="0"/>
      <c r="RC132" s="0"/>
      <c r="RD132" s="0"/>
      <c r="RE132" s="0"/>
      <c r="RF132" s="0"/>
      <c r="RG132" s="0"/>
      <c r="RH132" s="0"/>
      <c r="RI132" s="0"/>
      <c r="RJ132" s="0"/>
      <c r="RK132" s="0"/>
      <c r="RL132" s="0"/>
      <c r="RM132" s="0"/>
      <c r="RN132" s="0"/>
      <c r="RO132" s="0"/>
      <c r="RP132" s="0"/>
      <c r="RQ132" s="0"/>
      <c r="RR132" s="0"/>
      <c r="RS132" s="0"/>
      <c r="RT132" s="0"/>
      <c r="RU132" s="0"/>
      <c r="RV132" s="0"/>
      <c r="RW132" s="0"/>
      <c r="RX132" s="0"/>
      <c r="RY132" s="0"/>
      <c r="RZ132" s="0"/>
      <c r="SA132" s="0"/>
      <c r="SB132" s="0"/>
      <c r="SC132" s="0"/>
      <c r="SD132" s="0"/>
      <c r="SE132" s="0"/>
      <c r="SF132" s="0"/>
      <c r="SG132" s="0"/>
      <c r="SH132" s="0"/>
      <c r="SI132" s="0"/>
      <c r="SJ132" s="0"/>
      <c r="SK132" s="0"/>
      <c r="SL132" s="0"/>
      <c r="SM132" s="0"/>
      <c r="SN132" s="0"/>
      <c r="SO132" s="0"/>
      <c r="SP132" s="0"/>
      <c r="SQ132" s="0"/>
      <c r="SR132" s="0"/>
      <c r="SS132" s="0"/>
      <c r="ST132" s="0"/>
      <c r="SU132" s="0"/>
      <c r="SV132" s="0"/>
      <c r="SW132" s="0"/>
      <c r="SX132" s="0"/>
      <c r="SY132" s="0"/>
      <c r="SZ132" s="0"/>
      <c r="TA132" s="0"/>
      <c r="TB132" s="0"/>
      <c r="TC132" s="0"/>
      <c r="TD132" s="0"/>
      <c r="TE132" s="0"/>
      <c r="TF132" s="0"/>
      <c r="TG132" s="0"/>
      <c r="TH132" s="0"/>
      <c r="TI132" s="0"/>
      <c r="TJ132" s="0"/>
      <c r="TK132" s="0"/>
      <c r="TL132" s="0"/>
      <c r="TM132" s="0"/>
      <c r="TN132" s="0"/>
      <c r="TO132" s="0"/>
      <c r="TP132" s="0"/>
      <c r="TQ132" s="0"/>
      <c r="TR132" s="0"/>
      <c r="TS132" s="0"/>
      <c r="TT132" s="0"/>
      <c r="TU132" s="0"/>
      <c r="TV132" s="0"/>
      <c r="TW132" s="0"/>
      <c r="TX132" s="0"/>
      <c r="TY132" s="0"/>
      <c r="TZ132" s="0"/>
      <c r="UA132" s="0"/>
      <c r="UB132" s="0"/>
      <c r="UC132" s="0"/>
      <c r="UD132" s="0"/>
      <c r="UE132" s="0"/>
      <c r="UF132" s="0"/>
      <c r="UG132" s="0"/>
      <c r="UH132" s="0"/>
      <c r="UI132" s="0"/>
      <c r="UJ132" s="0"/>
      <c r="UK132" s="0"/>
      <c r="UL132" s="0"/>
      <c r="UM132" s="0"/>
      <c r="UN132" s="0"/>
      <c r="UO132" s="0"/>
      <c r="UP132" s="0"/>
      <c r="UQ132" s="0"/>
      <c r="UR132" s="0"/>
      <c r="US132" s="0"/>
      <c r="UT132" s="0"/>
      <c r="UU132" s="0"/>
      <c r="UV132" s="0"/>
      <c r="UW132" s="0"/>
      <c r="UX132" s="0"/>
      <c r="UY132" s="0"/>
      <c r="UZ132" s="0"/>
      <c r="VA132" s="0"/>
      <c r="VB132" s="0"/>
      <c r="VC132" s="0"/>
      <c r="VD132" s="0"/>
      <c r="VE132" s="0"/>
      <c r="VF132" s="0"/>
      <c r="VG132" s="0"/>
      <c r="VH132" s="0"/>
      <c r="VI132" s="0"/>
      <c r="VJ132" s="0"/>
      <c r="VK132" s="0"/>
      <c r="VL132" s="0"/>
      <c r="VM132" s="0"/>
      <c r="VN132" s="0"/>
      <c r="VO132" s="0"/>
      <c r="VP132" s="0"/>
      <c r="VQ132" s="0"/>
      <c r="VR132" s="0"/>
      <c r="VS132" s="0"/>
      <c r="VT132" s="0"/>
      <c r="VU132" s="0"/>
      <c r="VV132" s="0"/>
      <c r="VW132" s="0"/>
      <c r="VX132" s="0"/>
      <c r="VY132" s="0"/>
      <c r="VZ132" s="0"/>
      <c r="WA132" s="0"/>
      <c r="WB132" s="0"/>
      <c r="WC132" s="0"/>
      <c r="WD132" s="0"/>
      <c r="WE132" s="0"/>
      <c r="WF132" s="0"/>
      <c r="WG132" s="0"/>
      <c r="WH132" s="0"/>
      <c r="WI132" s="0"/>
      <c r="WJ132" s="0"/>
      <c r="WK132" s="0"/>
      <c r="WL132" s="0"/>
      <c r="WM132" s="0"/>
      <c r="WN132" s="0"/>
      <c r="WO132" s="0"/>
      <c r="WP132" s="0"/>
      <c r="WQ132" s="0"/>
      <c r="WR132" s="0"/>
      <c r="WS132" s="0"/>
      <c r="WT132" s="0"/>
      <c r="WU132" s="0"/>
      <c r="WV132" s="0"/>
      <c r="WW132" s="0"/>
      <c r="WX132" s="0"/>
      <c r="WY132" s="0"/>
      <c r="WZ132" s="0"/>
      <c r="XA132" s="0"/>
      <c r="XB132" s="0"/>
      <c r="XC132" s="0"/>
      <c r="XD132" s="0"/>
      <c r="XE132" s="0"/>
      <c r="XF132" s="0"/>
      <c r="XG132" s="0"/>
      <c r="XH132" s="0"/>
      <c r="XI132" s="0"/>
      <c r="XJ132" s="0"/>
      <c r="XK132" s="0"/>
      <c r="XL132" s="0"/>
      <c r="XM132" s="0"/>
      <c r="XN132" s="0"/>
      <c r="XO132" s="0"/>
      <c r="XP132" s="0"/>
      <c r="XQ132" s="0"/>
      <c r="XR132" s="0"/>
      <c r="XS132" s="0"/>
      <c r="XT132" s="0"/>
      <c r="XU132" s="0"/>
      <c r="XV132" s="0"/>
      <c r="XW132" s="0"/>
      <c r="XX132" s="0"/>
      <c r="XY132" s="0"/>
      <c r="XZ132" s="0"/>
      <c r="YA132" s="0"/>
      <c r="YB132" s="0"/>
      <c r="YC132" s="0"/>
      <c r="YD132" s="0"/>
      <c r="YE132" s="0"/>
      <c r="YF132" s="0"/>
      <c r="YG132" s="0"/>
      <c r="YH132" s="0"/>
      <c r="YI132" s="0"/>
      <c r="YJ132" s="0"/>
      <c r="YK132" s="0"/>
      <c r="YL132" s="0"/>
      <c r="YM132" s="0"/>
      <c r="YN132" s="0"/>
      <c r="YO132" s="0"/>
      <c r="YP132" s="0"/>
      <c r="YQ132" s="0"/>
      <c r="YR132" s="0"/>
      <c r="YS132" s="0"/>
      <c r="YT132" s="0"/>
      <c r="YU132" s="0"/>
      <c r="YV132" s="0"/>
      <c r="YW132" s="0"/>
      <c r="YX132" s="0"/>
      <c r="YY132" s="0"/>
      <c r="YZ132" s="0"/>
      <c r="ZA132" s="0"/>
      <c r="ZB132" s="0"/>
      <c r="ZC132" s="0"/>
      <c r="ZD132" s="0"/>
      <c r="ZE132" s="0"/>
      <c r="ZF132" s="0"/>
      <c r="ZG132" s="0"/>
      <c r="ZH132" s="0"/>
      <c r="ZI132" s="0"/>
      <c r="ZJ132" s="0"/>
      <c r="ZK132" s="0"/>
      <c r="ZL132" s="0"/>
      <c r="ZM132" s="0"/>
      <c r="ZN132" s="0"/>
      <c r="ZO132" s="0"/>
      <c r="ZP132" s="0"/>
      <c r="ZQ132" s="0"/>
      <c r="ZR132" s="0"/>
      <c r="ZS132" s="0"/>
      <c r="ZT132" s="0"/>
      <c r="ZU132" s="0"/>
      <c r="ZV132" s="0"/>
      <c r="ZW132" s="0"/>
      <c r="ZX132" s="0"/>
      <c r="ZY132" s="0"/>
      <c r="ZZ132" s="0"/>
      <c r="AAA132" s="0"/>
      <c r="AAB132" s="0"/>
      <c r="AAC132" s="0"/>
      <c r="AAD132" s="0"/>
      <c r="AAE132" s="0"/>
      <c r="AAF132" s="0"/>
      <c r="AAG132" s="0"/>
      <c r="AAH132" s="0"/>
      <c r="AAI132" s="0"/>
      <c r="AAJ132" s="0"/>
      <c r="AAK132" s="0"/>
      <c r="AAL132" s="0"/>
      <c r="AAM132" s="0"/>
      <c r="AAN132" s="0"/>
      <c r="AAO132" s="0"/>
      <c r="AAP132" s="0"/>
      <c r="AAQ132" s="0"/>
      <c r="AAR132" s="0"/>
      <c r="AAS132" s="0"/>
      <c r="AAT132" s="0"/>
      <c r="AAU132" s="0"/>
      <c r="AAV132" s="0"/>
      <c r="AAW132" s="0"/>
      <c r="AAX132" s="0"/>
      <c r="AAY132" s="0"/>
      <c r="AAZ132" s="0"/>
      <c r="ABA132" s="0"/>
      <c r="ABB132" s="0"/>
      <c r="ABC132" s="0"/>
      <c r="ABD132" s="0"/>
      <c r="ABE132" s="0"/>
      <c r="ABF132" s="0"/>
      <c r="ABG132" s="0"/>
      <c r="ABH132" s="0"/>
      <c r="ABI132" s="0"/>
      <c r="ABJ132" s="0"/>
      <c r="ABK132" s="0"/>
      <c r="ABL132" s="0"/>
      <c r="ABM132" s="0"/>
      <c r="ABN132" s="0"/>
      <c r="ABO132" s="0"/>
      <c r="ABP132" s="0"/>
      <c r="ABQ132" s="0"/>
      <c r="ABR132" s="0"/>
      <c r="ABS132" s="0"/>
      <c r="ABT132" s="0"/>
      <c r="ABU132" s="0"/>
      <c r="ABV132" s="0"/>
      <c r="ABW132" s="0"/>
      <c r="ABX132" s="0"/>
      <c r="ABY132" s="0"/>
      <c r="ABZ132" s="0"/>
      <c r="ACA132" s="0"/>
      <c r="ACB132" s="0"/>
      <c r="ACC132" s="0"/>
      <c r="ACD132" s="0"/>
      <c r="ACE132" s="0"/>
      <c r="ACF132" s="0"/>
      <c r="ACG132" s="0"/>
      <c r="ACH132" s="0"/>
      <c r="ACI132" s="0"/>
      <c r="ACJ132" s="0"/>
      <c r="ACK132" s="0"/>
      <c r="ACL132" s="0"/>
      <c r="ACM132" s="0"/>
      <c r="ACN132" s="0"/>
      <c r="ACO132" s="0"/>
      <c r="ACP132" s="0"/>
      <c r="ACQ132" s="0"/>
      <c r="ACR132" s="0"/>
      <c r="ACS132" s="0"/>
      <c r="ACT132" s="0"/>
      <c r="ACU132" s="0"/>
      <c r="ACV132" s="0"/>
      <c r="ACW132" s="0"/>
      <c r="ACX132" s="0"/>
      <c r="ACY132" s="0"/>
      <c r="ACZ132" s="0"/>
      <c r="ADA132" s="0"/>
      <c r="ADB132" s="0"/>
      <c r="ADC132" s="0"/>
      <c r="ADD132" s="0"/>
      <c r="ADE132" s="0"/>
      <c r="ADF132" s="0"/>
      <c r="ADG132" s="0"/>
      <c r="ADH132" s="0"/>
      <c r="ADI132" s="0"/>
      <c r="ADJ132" s="0"/>
      <c r="ADK132" s="0"/>
      <c r="ADL132" s="0"/>
      <c r="ADM132" s="0"/>
      <c r="ADN132" s="0"/>
      <c r="ADO132" s="0"/>
      <c r="ADP132" s="0"/>
      <c r="ADQ132" s="0"/>
      <c r="ADR132" s="0"/>
      <c r="ADS132" s="0"/>
      <c r="ADT132" s="0"/>
      <c r="ADU132" s="0"/>
      <c r="ADV132" s="0"/>
      <c r="ADW132" s="0"/>
      <c r="ADX132" s="0"/>
      <c r="ADY132" s="0"/>
      <c r="ADZ132" s="0"/>
      <c r="AEA132" s="0"/>
      <c r="AEB132" s="0"/>
      <c r="AEC132" s="0"/>
      <c r="AED132" s="0"/>
      <c r="AEE132" s="0"/>
      <c r="AEF132" s="0"/>
      <c r="AEG132" s="0"/>
      <c r="AEH132" s="0"/>
      <c r="AEI132" s="0"/>
      <c r="AEJ132" s="0"/>
      <c r="AEK132" s="0"/>
      <c r="AEL132" s="0"/>
      <c r="AEM132" s="0"/>
      <c r="AEN132" s="0"/>
      <c r="AEO132" s="0"/>
      <c r="AEP132" s="0"/>
      <c r="AEQ132" s="0"/>
      <c r="AER132" s="0"/>
      <c r="AES132" s="0"/>
      <c r="AET132" s="0"/>
      <c r="AEU132" s="0"/>
      <c r="AEV132" s="0"/>
      <c r="AEW132" s="0"/>
      <c r="AEX132" s="0"/>
      <c r="AEY132" s="0"/>
      <c r="AEZ132" s="0"/>
      <c r="AFA132" s="0"/>
      <c r="AFB132" s="0"/>
      <c r="AFC132" s="0"/>
      <c r="AFD132" s="0"/>
      <c r="AFE132" s="0"/>
      <c r="AFF132" s="0"/>
      <c r="AFG132" s="0"/>
      <c r="AFH132" s="0"/>
      <c r="AFI132" s="0"/>
      <c r="AFJ132" s="0"/>
      <c r="AFK132" s="0"/>
      <c r="AFL132" s="0"/>
      <c r="AFM132" s="0"/>
      <c r="AFN132" s="0"/>
      <c r="AFO132" s="0"/>
      <c r="AFP132" s="0"/>
      <c r="AFQ132" s="0"/>
      <c r="AFR132" s="0"/>
      <c r="AFS132" s="0"/>
      <c r="AFT132" s="0"/>
      <c r="AFU132" s="0"/>
      <c r="AFV132" s="0"/>
      <c r="AFW132" s="0"/>
      <c r="AFX132" s="0"/>
      <c r="AFY132" s="0"/>
      <c r="AFZ132" s="0"/>
      <c r="AGA132" s="0"/>
      <c r="AGB132" s="0"/>
      <c r="AGC132" s="0"/>
      <c r="AGD132" s="0"/>
      <c r="AGE132" s="0"/>
      <c r="AGF132" s="0"/>
      <c r="AGG132" s="0"/>
      <c r="AGH132" s="0"/>
      <c r="AGI132" s="0"/>
      <c r="AGJ132" s="0"/>
      <c r="AGK132" s="0"/>
      <c r="AGL132" s="0"/>
      <c r="AGM132" s="0"/>
      <c r="AGN132" s="0"/>
      <c r="AGO132" s="0"/>
      <c r="AGP132" s="0"/>
      <c r="AGQ132" s="0"/>
      <c r="AGR132" s="0"/>
      <c r="AGS132" s="0"/>
      <c r="AGT132" s="0"/>
      <c r="AGU132" s="0"/>
      <c r="AGV132" s="0"/>
      <c r="AGW132" s="0"/>
      <c r="AGX132" s="0"/>
      <c r="AGY132" s="0"/>
      <c r="AGZ132" s="0"/>
      <c r="AHA132" s="0"/>
      <c r="AHB132" s="0"/>
      <c r="AHC132" s="0"/>
      <c r="AHD132" s="0"/>
      <c r="AHE132" s="0"/>
      <c r="AHF132" s="0"/>
      <c r="AHG132" s="0"/>
      <c r="AHH132" s="0"/>
      <c r="AHI132" s="0"/>
      <c r="AHJ132" s="0"/>
      <c r="AHK132" s="0"/>
      <c r="AHL132" s="0"/>
      <c r="AHM132" s="0"/>
      <c r="AHN132" s="0"/>
      <c r="AHO132" s="0"/>
      <c r="AHP132" s="0"/>
      <c r="AHQ132" s="0"/>
      <c r="AHR132" s="0"/>
      <c r="AHS132" s="0"/>
      <c r="AHT132" s="0"/>
      <c r="AHU132" s="0"/>
      <c r="AHV132" s="0"/>
      <c r="AHW132" s="0"/>
      <c r="AHX132" s="0"/>
      <c r="AHY132" s="0"/>
      <c r="AHZ132" s="0"/>
      <c r="AIA132" s="0"/>
      <c r="AIB132" s="0"/>
      <c r="AIC132" s="0"/>
      <c r="AID132" s="0"/>
      <c r="AIE132" s="0"/>
      <c r="AIF132" s="0"/>
      <c r="AIG132" s="0"/>
      <c r="AIH132" s="0"/>
      <c r="AII132" s="0"/>
      <c r="AIJ132" s="0"/>
      <c r="AIK132" s="0"/>
      <c r="AIL132" s="0"/>
      <c r="AIM132" s="0"/>
      <c r="AIN132" s="0"/>
      <c r="AIO132" s="0"/>
      <c r="AIP132" s="0"/>
      <c r="AIQ132" s="0"/>
      <c r="AIR132" s="0"/>
      <c r="AIS132" s="0"/>
      <c r="AIT132" s="0"/>
      <c r="AIU132" s="0"/>
      <c r="AIV132" s="0"/>
      <c r="AIW132" s="0"/>
      <c r="AIX132" s="0"/>
      <c r="AIY132" s="0"/>
      <c r="AIZ132" s="0"/>
      <c r="AJA132" s="0"/>
      <c r="AJB132" s="0"/>
      <c r="AJC132" s="0"/>
      <c r="AJD132" s="0"/>
      <c r="AJE132" s="0"/>
      <c r="AJF132" s="0"/>
      <c r="AJG132" s="0"/>
      <c r="AJH132" s="0"/>
      <c r="AJI132" s="0"/>
      <c r="AJJ132" s="0"/>
      <c r="AJK132" s="0"/>
      <c r="AJL132" s="0"/>
      <c r="AJM132" s="0"/>
      <c r="AJN132" s="0"/>
      <c r="AJO132" s="0"/>
      <c r="AJP132" s="0"/>
      <c r="AJQ132" s="0"/>
      <c r="AJR132" s="0"/>
      <c r="AJS132" s="0"/>
      <c r="AJT132" s="0"/>
      <c r="AJU132" s="0"/>
      <c r="AJV132" s="0"/>
      <c r="AJW132" s="0"/>
      <c r="AJX132" s="0"/>
      <c r="AJY132" s="0"/>
      <c r="AJZ132" s="0"/>
      <c r="AKA132" s="0"/>
      <c r="AKB132" s="0"/>
      <c r="AKC132" s="0"/>
      <c r="AKD132" s="0"/>
      <c r="AKE132" s="0"/>
      <c r="AKF132" s="0"/>
      <c r="AKG132" s="0"/>
      <c r="AKH132" s="0"/>
      <c r="AKI132" s="0"/>
      <c r="AKJ132" s="0"/>
      <c r="AKK132" s="0"/>
      <c r="AKL132" s="0"/>
      <c r="AKM132" s="0"/>
      <c r="AKN132" s="0"/>
      <c r="AKO132" s="0"/>
      <c r="AKP132" s="0"/>
      <c r="AKQ132" s="0"/>
      <c r="AKR132" s="0"/>
      <c r="AKS132" s="0"/>
      <c r="AKT132" s="0"/>
      <c r="AKU132" s="0"/>
      <c r="AKV132" s="0"/>
      <c r="AKW132" s="0"/>
      <c r="AKX132" s="0"/>
      <c r="AKY132" s="0"/>
      <c r="AKZ132" s="0"/>
      <c r="ALA132" s="0"/>
      <c r="ALB132" s="0"/>
      <c r="ALC132" s="0"/>
      <c r="ALD132" s="0"/>
      <c r="ALE132" s="0"/>
      <c r="ALF132" s="0"/>
      <c r="ALG132" s="0"/>
      <c r="ALH132" s="0"/>
      <c r="ALI132" s="0"/>
      <c r="ALJ132" s="0"/>
      <c r="ALK132" s="0"/>
      <c r="ALL132" s="0"/>
      <c r="ALM132" s="0"/>
      <c r="ALN132" s="0"/>
      <c r="ALO132" s="0"/>
      <c r="ALP132" s="0"/>
      <c r="ALQ132" s="0"/>
      <c r="ALR132" s="0"/>
      <c r="ALS132" s="0"/>
      <c r="ALT132" s="0"/>
      <c r="ALU132" s="0"/>
      <c r="ALV132" s="0"/>
      <c r="ALW132" s="0"/>
      <c r="ALX132" s="0"/>
      <c r="ALY132" s="0"/>
      <c r="ALZ132" s="0"/>
      <c r="AMA132" s="0"/>
      <c r="AMB132" s="0"/>
      <c r="AMC132" s="0"/>
      <c r="AMD132" s="0"/>
      <c r="AME132" s="0"/>
      <c r="AMF132" s="0"/>
      <c r="AMG132" s="0"/>
      <c r="AMH132" s="0"/>
      <c r="AMI132" s="0"/>
      <c r="AMJ132" s="0"/>
    </row>
    <row r="133" customFormat="false" ht="14.4" hidden="false" customHeight="false" outlineLevel="0" collapsed="false">
      <c r="E133" s="15" t="n">
        <f aca="false">(G133+F133)/2/H133</f>
        <v>483</v>
      </c>
      <c r="F133" s="38" t="n">
        <v>2180</v>
      </c>
      <c r="G133" s="17" t="n">
        <v>2650</v>
      </c>
      <c r="H133" s="39" t="n">
        <v>5</v>
      </c>
      <c r="I133" s="19" t="n">
        <v>800</v>
      </c>
      <c r="J133" s="19" t="n">
        <v>0.15</v>
      </c>
      <c r="L133" s="23"/>
      <c r="O133" s="19" t="n">
        <v>0.002</v>
      </c>
      <c r="Q133" s="86" t="s">
        <v>192</v>
      </c>
      <c r="R133" s="21" t="n">
        <f aca="false">A133*N133</f>
        <v>0</v>
      </c>
      <c r="T133" s="22" t="n">
        <f aca="false">(G133-F133)/H133/E133</f>
        <v>0.194616977225673</v>
      </c>
      <c r="Z133" s="40" t="s">
        <v>193</v>
      </c>
      <c r="AA133" s="19" t="s">
        <v>194</v>
      </c>
      <c r="AB133" s="41" t="n">
        <v>2015</v>
      </c>
      <c r="AC133" s="87" t="s">
        <v>184</v>
      </c>
      <c r="AE133" s="19" t="n">
        <v>350</v>
      </c>
      <c r="AO133" s="40"/>
      <c r="AX133" s="41" t="n">
        <v>0</v>
      </c>
    </row>
    <row r="134" customFormat="false" ht="14.4" hidden="false" customHeight="false" outlineLevel="0" collapsed="false">
      <c r="E134" s="15" t="n">
        <f aca="false">(G134+F134)/2/H134</f>
        <v>486.666666666667</v>
      </c>
      <c r="F134" s="38" t="n">
        <v>2650</v>
      </c>
      <c r="G134" s="17" t="n">
        <v>3190</v>
      </c>
      <c r="H134" s="39" t="n">
        <v>6</v>
      </c>
      <c r="I134" s="19" t="n">
        <v>800</v>
      </c>
      <c r="J134" s="19" t="n">
        <v>0.15</v>
      </c>
      <c r="L134" s="23"/>
      <c r="O134" s="19" t="n">
        <v>0.002</v>
      </c>
      <c r="Q134" s="86" t="s">
        <v>192</v>
      </c>
      <c r="R134" s="21" t="n">
        <f aca="false">A134*N134</f>
        <v>0</v>
      </c>
      <c r="T134" s="22" t="n">
        <f aca="false">(G134-F134)/H134/E134</f>
        <v>0.184931506849315</v>
      </c>
      <c r="Z134" s="40" t="s">
        <v>193</v>
      </c>
      <c r="AA134" s="19" t="s">
        <v>194</v>
      </c>
      <c r="AB134" s="41" t="n">
        <v>2015</v>
      </c>
      <c r="AC134" s="87" t="s">
        <v>184</v>
      </c>
      <c r="AE134" s="19" t="n">
        <v>350</v>
      </c>
      <c r="AO134" s="40"/>
      <c r="AX134" s="41" t="n">
        <v>0</v>
      </c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  <c r="OJ134" s="0"/>
      <c r="OK134" s="0"/>
      <c r="OL134" s="0"/>
      <c r="OM134" s="0"/>
      <c r="ON134" s="0"/>
      <c r="OO134" s="0"/>
      <c r="OP134" s="0"/>
      <c r="OQ134" s="0"/>
      <c r="OR134" s="0"/>
      <c r="OS134" s="0"/>
      <c r="OT134" s="0"/>
      <c r="OU134" s="0"/>
      <c r="OV134" s="0"/>
      <c r="OW134" s="0"/>
      <c r="OX134" s="0"/>
      <c r="OY134" s="0"/>
      <c r="OZ134" s="0"/>
      <c r="PA134" s="0"/>
      <c r="PB134" s="0"/>
      <c r="PC134" s="0"/>
      <c r="PD134" s="0"/>
      <c r="PE134" s="0"/>
      <c r="PF134" s="0"/>
      <c r="PG134" s="0"/>
      <c r="PH134" s="0"/>
      <c r="PI134" s="0"/>
      <c r="PJ134" s="0"/>
      <c r="PK134" s="0"/>
      <c r="PL134" s="0"/>
      <c r="PM134" s="0"/>
      <c r="PN134" s="0"/>
      <c r="PO134" s="0"/>
      <c r="PP134" s="0"/>
      <c r="PQ134" s="0"/>
      <c r="PR134" s="0"/>
      <c r="PS134" s="0"/>
      <c r="PT134" s="0"/>
      <c r="PU134" s="0"/>
      <c r="PV134" s="0"/>
      <c r="PW134" s="0"/>
      <c r="PX134" s="0"/>
      <c r="PY134" s="0"/>
      <c r="PZ134" s="0"/>
      <c r="QA134" s="0"/>
      <c r="QB134" s="0"/>
      <c r="QC134" s="0"/>
      <c r="QD134" s="0"/>
      <c r="QE134" s="0"/>
      <c r="QF134" s="0"/>
      <c r="QG134" s="0"/>
      <c r="QH134" s="0"/>
      <c r="QI134" s="0"/>
      <c r="QJ134" s="0"/>
      <c r="QK134" s="0"/>
      <c r="QL134" s="0"/>
      <c r="QM134" s="0"/>
      <c r="QN134" s="0"/>
      <c r="QO134" s="0"/>
      <c r="QP134" s="0"/>
      <c r="QQ134" s="0"/>
      <c r="QR134" s="0"/>
      <c r="QS134" s="0"/>
      <c r="QT134" s="0"/>
      <c r="QU134" s="0"/>
      <c r="QV134" s="0"/>
      <c r="QW134" s="0"/>
      <c r="QX134" s="0"/>
      <c r="QY134" s="0"/>
      <c r="QZ134" s="0"/>
      <c r="RA134" s="0"/>
      <c r="RB134" s="0"/>
      <c r="RC134" s="0"/>
      <c r="RD134" s="0"/>
      <c r="RE134" s="0"/>
      <c r="RF134" s="0"/>
      <c r="RG134" s="0"/>
      <c r="RH134" s="0"/>
      <c r="RI134" s="0"/>
      <c r="RJ134" s="0"/>
      <c r="RK134" s="0"/>
      <c r="RL134" s="0"/>
      <c r="RM134" s="0"/>
      <c r="RN134" s="0"/>
      <c r="RO134" s="0"/>
      <c r="RP134" s="0"/>
      <c r="RQ134" s="0"/>
      <c r="RR134" s="0"/>
      <c r="RS134" s="0"/>
      <c r="RT134" s="0"/>
      <c r="RU134" s="0"/>
      <c r="RV134" s="0"/>
      <c r="RW134" s="0"/>
      <c r="RX134" s="0"/>
      <c r="RY134" s="0"/>
      <c r="RZ134" s="0"/>
      <c r="SA134" s="0"/>
      <c r="SB134" s="0"/>
      <c r="SC134" s="0"/>
      <c r="SD134" s="0"/>
      <c r="SE134" s="0"/>
      <c r="SF134" s="0"/>
      <c r="SG134" s="0"/>
      <c r="SH134" s="0"/>
      <c r="SI134" s="0"/>
      <c r="SJ134" s="0"/>
      <c r="SK134" s="0"/>
      <c r="SL134" s="0"/>
      <c r="SM134" s="0"/>
      <c r="SN134" s="0"/>
      <c r="SO134" s="0"/>
      <c r="SP134" s="0"/>
      <c r="SQ134" s="0"/>
      <c r="SR134" s="0"/>
      <c r="SS134" s="0"/>
      <c r="ST134" s="0"/>
      <c r="SU134" s="0"/>
      <c r="SV134" s="0"/>
      <c r="SW134" s="0"/>
      <c r="SX134" s="0"/>
      <c r="SY134" s="0"/>
      <c r="SZ134" s="0"/>
      <c r="TA134" s="0"/>
      <c r="TB134" s="0"/>
      <c r="TC134" s="0"/>
      <c r="TD134" s="0"/>
      <c r="TE134" s="0"/>
      <c r="TF134" s="0"/>
      <c r="TG134" s="0"/>
      <c r="TH134" s="0"/>
      <c r="TI134" s="0"/>
      <c r="TJ134" s="0"/>
      <c r="TK134" s="0"/>
      <c r="TL134" s="0"/>
      <c r="TM134" s="0"/>
      <c r="TN134" s="0"/>
      <c r="TO134" s="0"/>
      <c r="TP134" s="0"/>
      <c r="TQ134" s="0"/>
      <c r="TR134" s="0"/>
      <c r="TS134" s="0"/>
      <c r="TT134" s="0"/>
      <c r="TU134" s="0"/>
      <c r="TV134" s="0"/>
      <c r="TW134" s="0"/>
      <c r="TX134" s="0"/>
      <c r="TY134" s="0"/>
      <c r="TZ134" s="0"/>
      <c r="UA134" s="0"/>
      <c r="UB134" s="0"/>
      <c r="UC134" s="0"/>
      <c r="UD134" s="0"/>
      <c r="UE134" s="0"/>
      <c r="UF134" s="0"/>
      <c r="UG134" s="0"/>
      <c r="UH134" s="0"/>
      <c r="UI134" s="0"/>
      <c r="UJ134" s="0"/>
      <c r="UK134" s="0"/>
      <c r="UL134" s="0"/>
      <c r="UM134" s="0"/>
      <c r="UN134" s="0"/>
      <c r="UO134" s="0"/>
      <c r="UP134" s="0"/>
      <c r="UQ134" s="0"/>
      <c r="UR134" s="0"/>
      <c r="US134" s="0"/>
      <c r="UT134" s="0"/>
      <c r="UU134" s="0"/>
      <c r="UV134" s="0"/>
      <c r="UW134" s="0"/>
      <c r="UX134" s="0"/>
      <c r="UY134" s="0"/>
      <c r="UZ134" s="0"/>
      <c r="VA134" s="0"/>
      <c r="VB134" s="0"/>
      <c r="VC134" s="0"/>
      <c r="VD134" s="0"/>
      <c r="VE134" s="0"/>
      <c r="VF134" s="0"/>
      <c r="VG134" s="0"/>
      <c r="VH134" s="0"/>
      <c r="VI134" s="0"/>
      <c r="VJ134" s="0"/>
      <c r="VK134" s="0"/>
      <c r="VL134" s="0"/>
      <c r="VM134" s="0"/>
      <c r="VN134" s="0"/>
      <c r="VO134" s="0"/>
      <c r="VP134" s="0"/>
      <c r="VQ134" s="0"/>
      <c r="VR134" s="0"/>
      <c r="VS134" s="0"/>
      <c r="VT134" s="0"/>
      <c r="VU134" s="0"/>
      <c r="VV134" s="0"/>
      <c r="VW134" s="0"/>
      <c r="VX134" s="0"/>
      <c r="VY134" s="0"/>
      <c r="VZ134" s="0"/>
      <c r="WA134" s="0"/>
      <c r="WB134" s="0"/>
      <c r="WC134" s="0"/>
      <c r="WD134" s="0"/>
      <c r="WE134" s="0"/>
      <c r="WF134" s="0"/>
      <c r="WG134" s="0"/>
      <c r="WH134" s="0"/>
      <c r="WI134" s="0"/>
      <c r="WJ134" s="0"/>
      <c r="WK134" s="0"/>
      <c r="WL134" s="0"/>
      <c r="WM134" s="0"/>
      <c r="WN134" s="0"/>
      <c r="WO134" s="0"/>
      <c r="WP134" s="0"/>
      <c r="WQ134" s="0"/>
      <c r="WR134" s="0"/>
      <c r="WS134" s="0"/>
      <c r="WT134" s="0"/>
      <c r="WU134" s="0"/>
      <c r="WV134" s="0"/>
      <c r="WW134" s="0"/>
      <c r="WX134" s="0"/>
      <c r="WY134" s="0"/>
      <c r="WZ134" s="0"/>
      <c r="XA134" s="0"/>
      <c r="XB134" s="0"/>
      <c r="XC134" s="0"/>
      <c r="XD134" s="0"/>
      <c r="XE134" s="0"/>
      <c r="XF134" s="0"/>
      <c r="XG134" s="0"/>
      <c r="XH134" s="0"/>
      <c r="XI134" s="0"/>
      <c r="XJ134" s="0"/>
      <c r="XK134" s="0"/>
      <c r="XL134" s="0"/>
      <c r="XM134" s="0"/>
      <c r="XN134" s="0"/>
      <c r="XO134" s="0"/>
      <c r="XP134" s="0"/>
      <c r="XQ134" s="0"/>
      <c r="XR134" s="0"/>
      <c r="XS134" s="0"/>
      <c r="XT134" s="0"/>
      <c r="XU134" s="0"/>
      <c r="XV134" s="0"/>
      <c r="XW134" s="0"/>
      <c r="XX134" s="0"/>
      <c r="XY134" s="0"/>
      <c r="XZ134" s="0"/>
      <c r="YA134" s="0"/>
      <c r="YB134" s="0"/>
      <c r="YC134" s="0"/>
      <c r="YD134" s="0"/>
      <c r="YE134" s="0"/>
      <c r="YF134" s="0"/>
      <c r="YG134" s="0"/>
      <c r="YH134" s="0"/>
      <c r="YI134" s="0"/>
      <c r="YJ134" s="0"/>
      <c r="YK134" s="0"/>
      <c r="YL134" s="0"/>
      <c r="YM134" s="0"/>
      <c r="YN134" s="0"/>
      <c r="YO134" s="0"/>
      <c r="YP134" s="0"/>
      <c r="YQ134" s="0"/>
      <c r="YR134" s="0"/>
      <c r="YS134" s="0"/>
      <c r="YT134" s="0"/>
      <c r="YU134" s="0"/>
      <c r="YV134" s="0"/>
      <c r="YW134" s="0"/>
      <c r="YX134" s="0"/>
      <c r="YY134" s="0"/>
      <c r="YZ134" s="0"/>
      <c r="ZA134" s="0"/>
      <c r="ZB134" s="0"/>
      <c r="ZC134" s="0"/>
      <c r="ZD134" s="0"/>
      <c r="ZE134" s="0"/>
      <c r="ZF134" s="0"/>
      <c r="ZG134" s="0"/>
      <c r="ZH134" s="0"/>
      <c r="ZI134" s="0"/>
      <c r="ZJ134" s="0"/>
      <c r="ZK134" s="0"/>
      <c r="ZL134" s="0"/>
      <c r="ZM134" s="0"/>
      <c r="ZN134" s="0"/>
      <c r="ZO134" s="0"/>
      <c r="ZP134" s="0"/>
      <c r="ZQ134" s="0"/>
      <c r="ZR134" s="0"/>
      <c r="ZS134" s="0"/>
      <c r="ZT134" s="0"/>
      <c r="ZU134" s="0"/>
      <c r="ZV134" s="0"/>
      <c r="ZW134" s="0"/>
      <c r="ZX134" s="0"/>
      <c r="ZY134" s="0"/>
      <c r="ZZ134" s="0"/>
      <c r="AAA134" s="0"/>
      <c r="AAB134" s="0"/>
      <c r="AAC134" s="0"/>
      <c r="AAD134" s="0"/>
      <c r="AAE134" s="0"/>
      <c r="AAF134" s="0"/>
      <c r="AAG134" s="0"/>
      <c r="AAH134" s="0"/>
      <c r="AAI134" s="0"/>
      <c r="AAJ134" s="0"/>
      <c r="AAK134" s="0"/>
      <c r="AAL134" s="0"/>
      <c r="AAM134" s="0"/>
      <c r="AAN134" s="0"/>
      <c r="AAO134" s="0"/>
      <c r="AAP134" s="0"/>
      <c r="AAQ134" s="0"/>
      <c r="AAR134" s="0"/>
      <c r="AAS134" s="0"/>
      <c r="AAT134" s="0"/>
      <c r="AAU134" s="0"/>
      <c r="AAV134" s="0"/>
      <c r="AAW134" s="0"/>
      <c r="AAX134" s="0"/>
      <c r="AAY134" s="0"/>
      <c r="AAZ134" s="0"/>
      <c r="ABA134" s="0"/>
      <c r="ABB134" s="0"/>
      <c r="ABC134" s="0"/>
      <c r="ABD134" s="0"/>
      <c r="ABE134" s="0"/>
      <c r="ABF134" s="0"/>
      <c r="ABG134" s="0"/>
      <c r="ABH134" s="0"/>
      <c r="ABI134" s="0"/>
      <c r="ABJ134" s="0"/>
      <c r="ABK134" s="0"/>
      <c r="ABL134" s="0"/>
      <c r="ABM134" s="0"/>
      <c r="ABN134" s="0"/>
      <c r="ABO134" s="0"/>
      <c r="ABP134" s="0"/>
      <c r="ABQ134" s="0"/>
      <c r="ABR134" s="0"/>
      <c r="ABS134" s="0"/>
      <c r="ABT134" s="0"/>
      <c r="ABU134" s="0"/>
      <c r="ABV134" s="0"/>
      <c r="ABW134" s="0"/>
      <c r="ABX134" s="0"/>
      <c r="ABY134" s="0"/>
      <c r="ABZ134" s="0"/>
      <c r="ACA134" s="0"/>
      <c r="ACB134" s="0"/>
      <c r="ACC134" s="0"/>
      <c r="ACD134" s="0"/>
      <c r="ACE134" s="0"/>
      <c r="ACF134" s="0"/>
      <c r="ACG134" s="0"/>
      <c r="ACH134" s="0"/>
      <c r="ACI134" s="0"/>
      <c r="ACJ134" s="0"/>
      <c r="ACK134" s="0"/>
      <c r="ACL134" s="0"/>
      <c r="ACM134" s="0"/>
      <c r="ACN134" s="0"/>
      <c r="ACO134" s="0"/>
      <c r="ACP134" s="0"/>
      <c r="ACQ134" s="0"/>
      <c r="ACR134" s="0"/>
      <c r="ACS134" s="0"/>
      <c r="ACT134" s="0"/>
      <c r="ACU134" s="0"/>
      <c r="ACV134" s="0"/>
      <c r="ACW134" s="0"/>
      <c r="ACX134" s="0"/>
      <c r="ACY134" s="0"/>
      <c r="ACZ134" s="0"/>
      <c r="ADA134" s="0"/>
      <c r="ADB134" s="0"/>
      <c r="ADC134" s="0"/>
      <c r="ADD134" s="0"/>
      <c r="ADE134" s="0"/>
      <c r="ADF134" s="0"/>
      <c r="ADG134" s="0"/>
      <c r="ADH134" s="0"/>
      <c r="ADI134" s="0"/>
      <c r="ADJ134" s="0"/>
      <c r="ADK134" s="0"/>
      <c r="ADL134" s="0"/>
      <c r="ADM134" s="0"/>
      <c r="ADN134" s="0"/>
      <c r="ADO134" s="0"/>
      <c r="ADP134" s="0"/>
      <c r="ADQ134" s="0"/>
      <c r="ADR134" s="0"/>
      <c r="ADS134" s="0"/>
      <c r="ADT134" s="0"/>
      <c r="ADU134" s="0"/>
      <c r="ADV134" s="0"/>
      <c r="ADW134" s="0"/>
      <c r="ADX134" s="0"/>
      <c r="ADY134" s="0"/>
      <c r="ADZ134" s="0"/>
      <c r="AEA134" s="0"/>
      <c r="AEB134" s="0"/>
      <c r="AEC134" s="0"/>
      <c r="AED134" s="0"/>
      <c r="AEE134" s="0"/>
      <c r="AEF134" s="0"/>
      <c r="AEG134" s="0"/>
      <c r="AEH134" s="0"/>
      <c r="AEI134" s="0"/>
      <c r="AEJ134" s="0"/>
      <c r="AEK134" s="0"/>
      <c r="AEL134" s="0"/>
      <c r="AEM134" s="0"/>
      <c r="AEN134" s="0"/>
      <c r="AEO134" s="0"/>
      <c r="AEP134" s="0"/>
      <c r="AEQ134" s="0"/>
      <c r="AER134" s="0"/>
      <c r="AES134" s="0"/>
      <c r="AET134" s="0"/>
      <c r="AEU134" s="0"/>
      <c r="AEV134" s="0"/>
      <c r="AEW134" s="0"/>
      <c r="AEX134" s="0"/>
      <c r="AEY134" s="0"/>
      <c r="AEZ134" s="0"/>
      <c r="AFA134" s="0"/>
      <c r="AFB134" s="0"/>
      <c r="AFC134" s="0"/>
      <c r="AFD134" s="0"/>
      <c r="AFE134" s="0"/>
      <c r="AFF134" s="0"/>
      <c r="AFG134" s="0"/>
      <c r="AFH134" s="0"/>
      <c r="AFI134" s="0"/>
      <c r="AFJ134" s="0"/>
      <c r="AFK134" s="0"/>
      <c r="AFL134" s="0"/>
      <c r="AFM134" s="0"/>
      <c r="AFN134" s="0"/>
      <c r="AFO134" s="0"/>
      <c r="AFP134" s="0"/>
      <c r="AFQ134" s="0"/>
      <c r="AFR134" s="0"/>
      <c r="AFS134" s="0"/>
      <c r="AFT134" s="0"/>
      <c r="AFU134" s="0"/>
      <c r="AFV134" s="0"/>
      <c r="AFW134" s="0"/>
      <c r="AFX134" s="0"/>
      <c r="AFY134" s="0"/>
      <c r="AFZ134" s="0"/>
      <c r="AGA134" s="0"/>
      <c r="AGB134" s="0"/>
      <c r="AGC134" s="0"/>
      <c r="AGD134" s="0"/>
      <c r="AGE134" s="0"/>
      <c r="AGF134" s="0"/>
      <c r="AGG134" s="0"/>
      <c r="AGH134" s="0"/>
      <c r="AGI134" s="0"/>
      <c r="AGJ134" s="0"/>
      <c r="AGK134" s="0"/>
      <c r="AGL134" s="0"/>
      <c r="AGM134" s="0"/>
      <c r="AGN134" s="0"/>
      <c r="AGO134" s="0"/>
      <c r="AGP134" s="0"/>
      <c r="AGQ134" s="0"/>
      <c r="AGR134" s="0"/>
      <c r="AGS134" s="0"/>
      <c r="AGT134" s="0"/>
      <c r="AGU134" s="0"/>
      <c r="AGV134" s="0"/>
      <c r="AGW134" s="0"/>
      <c r="AGX134" s="0"/>
      <c r="AGY134" s="0"/>
      <c r="AGZ134" s="0"/>
      <c r="AHA134" s="0"/>
      <c r="AHB134" s="0"/>
      <c r="AHC134" s="0"/>
      <c r="AHD134" s="0"/>
      <c r="AHE134" s="0"/>
      <c r="AHF134" s="0"/>
      <c r="AHG134" s="0"/>
      <c r="AHH134" s="0"/>
      <c r="AHI134" s="0"/>
      <c r="AHJ134" s="0"/>
      <c r="AHK134" s="0"/>
      <c r="AHL134" s="0"/>
      <c r="AHM134" s="0"/>
      <c r="AHN134" s="0"/>
      <c r="AHO134" s="0"/>
      <c r="AHP134" s="0"/>
      <c r="AHQ134" s="0"/>
      <c r="AHR134" s="0"/>
      <c r="AHS134" s="0"/>
      <c r="AHT134" s="0"/>
      <c r="AHU134" s="0"/>
      <c r="AHV134" s="0"/>
      <c r="AHW134" s="0"/>
      <c r="AHX134" s="0"/>
      <c r="AHY134" s="0"/>
      <c r="AHZ134" s="0"/>
      <c r="AIA134" s="0"/>
      <c r="AIB134" s="0"/>
      <c r="AIC134" s="0"/>
      <c r="AID134" s="0"/>
      <c r="AIE134" s="0"/>
      <c r="AIF134" s="0"/>
      <c r="AIG134" s="0"/>
      <c r="AIH134" s="0"/>
      <c r="AII134" s="0"/>
      <c r="AIJ134" s="0"/>
      <c r="AIK134" s="0"/>
      <c r="AIL134" s="0"/>
      <c r="AIM134" s="0"/>
      <c r="AIN134" s="0"/>
      <c r="AIO134" s="0"/>
      <c r="AIP134" s="0"/>
      <c r="AIQ134" s="0"/>
      <c r="AIR134" s="0"/>
      <c r="AIS134" s="0"/>
      <c r="AIT134" s="0"/>
      <c r="AIU134" s="0"/>
      <c r="AIV134" s="0"/>
      <c r="AIW134" s="0"/>
      <c r="AIX134" s="0"/>
      <c r="AIY134" s="0"/>
      <c r="AIZ134" s="0"/>
      <c r="AJA134" s="0"/>
      <c r="AJB134" s="0"/>
      <c r="AJC134" s="0"/>
      <c r="AJD134" s="0"/>
      <c r="AJE134" s="0"/>
      <c r="AJF134" s="0"/>
      <c r="AJG134" s="0"/>
      <c r="AJH134" s="0"/>
      <c r="AJI134" s="0"/>
      <c r="AJJ134" s="0"/>
      <c r="AJK134" s="0"/>
      <c r="AJL134" s="0"/>
      <c r="AJM134" s="0"/>
      <c r="AJN134" s="0"/>
      <c r="AJO134" s="0"/>
      <c r="AJP134" s="0"/>
      <c r="AJQ134" s="0"/>
      <c r="AJR134" s="0"/>
      <c r="AJS134" s="0"/>
      <c r="AJT134" s="0"/>
      <c r="AJU134" s="0"/>
      <c r="AJV134" s="0"/>
      <c r="AJW134" s="0"/>
      <c r="AJX134" s="0"/>
      <c r="AJY134" s="0"/>
      <c r="AJZ134" s="0"/>
      <c r="AKA134" s="0"/>
      <c r="AKB134" s="0"/>
      <c r="AKC134" s="0"/>
      <c r="AKD134" s="0"/>
      <c r="AKE134" s="0"/>
      <c r="AKF134" s="0"/>
      <c r="AKG134" s="0"/>
      <c r="AKH134" s="0"/>
      <c r="AKI134" s="0"/>
      <c r="AKJ134" s="0"/>
      <c r="AKK134" s="0"/>
      <c r="AKL134" s="0"/>
      <c r="AKM134" s="0"/>
      <c r="AKN134" s="0"/>
      <c r="AKO134" s="0"/>
      <c r="AKP134" s="0"/>
      <c r="AKQ134" s="0"/>
      <c r="AKR134" s="0"/>
      <c r="AKS134" s="0"/>
      <c r="AKT134" s="0"/>
      <c r="AKU134" s="0"/>
      <c r="AKV134" s="0"/>
      <c r="AKW134" s="0"/>
      <c r="AKX134" s="0"/>
      <c r="AKY134" s="0"/>
      <c r="AKZ134" s="0"/>
      <c r="ALA134" s="0"/>
      <c r="ALB134" s="0"/>
      <c r="ALC134" s="0"/>
      <c r="ALD134" s="0"/>
      <c r="ALE134" s="0"/>
      <c r="ALF134" s="0"/>
      <c r="ALG134" s="0"/>
      <c r="ALH134" s="0"/>
      <c r="ALI134" s="0"/>
      <c r="ALJ134" s="0"/>
      <c r="ALK134" s="0"/>
      <c r="ALL134" s="0"/>
      <c r="ALM134" s="0"/>
      <c r="ALN134" s="0"/>
      <c r="ALO134" s="0"/>
      <c r="ALP134" s="0"/>
      <c r="ALQ134" s="0"/>
      <c r="ALR134" s="0"/>
      <c r="ALS134" s="0"/>
      <c r="ALT134" s="0"/>
      <c r="ALU134" s="0"/>
      <c r="ALV134" s="0"/>
      <c r="ALW134" s="0"/>
      <c r="ALX134" s="0"/>
      <c r="ALY134" s="0"/>
      <c r="ALZ134" s="0"/>
      <c r="AMA134" s="0"/>
      <c r="AMB134" s="0"/>
      <c r="AMC134" s="0"/>
      <c r="AMD134" s="0"/>
      <c r="AME134" s="0"/>
      <c r="AMF134" s="0"/>
      <c r="AMG134" s="0"/>
      <c r="AMH134" s="0"/>
      <c r="AMI134" s="0"/>
      <c r="AMJ134" s="0"/>
    </row>
    <row r="135" customFormat="false" ht="14.4" hidden="false" customHeight="false" outlineLevel="0" collapsed="false">
      <c r="E135" s="15" t="n">
        <f aca="false">(G135+F135)/2/H135</f>
        <v>505</v>
      </c>
      <c r="F135" s="38" t="n">
        <v>2320</v>
      </c>
      <c r="G135" s="17" t="n">
        <v>2730</v>
      </c>
      <c r="H135" s="39" t="n">
        <v>5</v>
      </c>
      <c r="I135" s="19" t="n">
        <v>800</v>
      </c>
      <c r="J135" s="19" t="n">
        <v>0.15</v>
      </c>
      <c r="L135" s="23"/>
      <c r="O135" s="19" t="n">
        <v>0.002</v>
      </c>
      <c r="Q135" s="86" t="s">
        <v>192</v>
      </c>
      <c r="R135" s="21" t="n">
        <f aca="false">A135*N135</f>
        <v>0</v>
      </c>
      <c r="T135" s="22" t="n">
        <f aca="false">(G135-F135)/H135/E135</f>
        <v>0.162376237623762</v>
      </c>
      <c r="Z135" s="40" t="s">
        <v>193</v>
      </c>
      <c r="AA135" s="19" t="s">
        <v>194</v>
      </c>
      <c r="AB135" s="41" t="n">
        <v>2015</v>
      </c>
      <c r="AC135" s="87" t="s">
        <v>184</v>
      </c>
      <c r="AE135" s="19" t="n">
        <v>350</v>
      </c>
      <c r="AO135" s="40"/>
      <c r="AX135" s="41" t="n">
        <v>0</v>
      </c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  <c r="OJ135" s="0"/>
      <c r="OK135" s="0"/>
      <c r="OL135" s="0"/>
      <c r="OM135" s="0"/>
      <c r="ON135" s="0"/>
      <c r="OO135" s="0"/>
      <c r="OP135" s="0"/>
      <c r="OQ135" s="0"/>
      <c r="OR135" s="0"/>
      <c r="OS135" s="0"/>
      <c r="OT135" s="0"/>
      <c r="OU135" s="0"/>
      <c r="OV135" s="0"/>
      <c r="OW135" s="0"/>
      <c r="OX135" s="0"/>
      <c r="OY135" s="0"/>
      <c r="OZ135" s="0"/>
      <c r="PA135" s="0"/>
      <c r="PB135" s="0"/>
      <c r="PC135" s="0"/>
      <c r="PD135" s="0"/>
      <c r="PE135" s="0"/>
      <c r="PF135" s="0"/>
      <c r="PG135" s="0"/>
      <c r="PH135" s="0"/>
      <c r="PI135" s="0"/>
      <c r="PJ135" s="0"/>
      <c r="PK135" s="0"/>
      <c r="PL135" s="0"/>
      <c r="PM135" s="0"/>
      <c r="PN135" s="0"/>
      <c r="PO135" s="0"/>
      <c r="PP135" s="0"/>
      <c r="PQ135" s="0"/>
      <c r="PR135" s="0"/>
      <c r="PS135" s="0"/>
      <c r="PT135" s="0"/>
      <c r="PU135" s="0"/>
      <c r="PV135" s="0"/>
      <c r="PW135" s="0"/>
      <c r="PX135" s="0"/>
      <c r="PY135" s="0"/>
      <c r="PZ135" s="0"/>
      <c r="QA135" s="0"/>
      <c r="QB135" s="0"/>
      <c r="QC135" s="0"/>
      <c r="QD135" s="0"/>
      <c r="QE135" s="0"/>
      <c r="QF135" s="0"/>
      <c r="QG135" s="0"/>
      <c r="QH135" s="0"/>
      <c r="QI135" s="0"/>
      <c r="QJ135" s="0"/>
      <c r="QK135" s="0"/>
      <c r="QL135" s="0"/>
      <c r="QM135" s="0"/>
      <c r="QN135" s="0"/>
      <c r="QO135" s="0"/>
      <c r="QP135" s="0"/>
      <c r="QQ135" s="0"/>
      <c r="QR135" s="0"/>
      <c r="QS135" s="0"/>
      <c r="QT135" s="0"/>
      <c r="QU135" s="0"/>
      <c r="QV135" s="0"/>
      <c r="QW135" s="0"/>
      <c r="QX135" s="0"/>
      <c r="QY135" s="0"/>
      <c r="QZ135" s="0"/>
      <c r="RA135" s="0"/>
      <c r="RB135" s="0"/>
      <c r="RC135" s="0"/>
      <c r="RD135" s="0"/>
      <c r="RE135" s="0"/>
      <c r="RF135" s="0"/>
      <c r="RG135" s="0"/>
      <c r="RH135" s="0"/>
      <c r="RI135" s="0"/>
      <c r="RJ135" s="0"/>
      <c r="RK135" s="0"/>
      <c r="RL135" s="0"/>
      <c r="RM135" s="0"/>
      <c r="RN135" s="0"/>
      <c r="RO135" s="0"/>
      <c r="RP135" s="0"/>
      <c r="RQ135" s="0"/>
      <c r="RR135" s="0"/>
      <c r="RS135" s="0"/>
      <c r="RT135" s="0"/>
      <c r="RU135" s="0"/>
      <c r="RV135" s="0"/>
      <c r="RW135" s="0"/>
      <c r="RX135" s="0"/>
      <c r="RY135" s="0"/>
      <c r="RZ135" s="0"/>
      <c r="SA135" s="0"/>
      <c r="SB135" s="0"/>
      <c r="SC135" s="0"/>
      <c r="SD135" s="0"/>
      <c r="SE135" s="0"/>
      <c r="SF135" s="0"/>
      <c r="SG135" s="0"/>
      <c r="SH135" s="0"/>
      <c r="SI135" s="0"/>
      <c r="SJ135" s="0"/>
      <c r="SK135" s="0"/>
      <c r="SL135" s="0"/>
      <c r="SM135" s="0"/>
      <c r="SN135" s="0"/>
      <c r="SO135" s="0"/>
      <c r="SP135" s="0"/>
      <c r="SQ135" s="0"/>
      <c r="SR135" s="0"/>
      <c r="SS135" s="0"/>
      <c r="ST135" s="0"/>
      <c r="SU135" s="0"/>
      <c r="SV135" s="0"/>
      <c r="SW135" s="0"/>
      <c r="SX135" s="0"/>
      <c r="SY135" s="0"/>
      <c r="SZ135" s="0"/>
      <c r="TA135" s="0"/>
      <c r="TB135" s="0"/>
      <c r="TC135" s="0"/>
      <c r="TD135" s="0"/>
      <c r="TE135" s="0"/>
      <c r="TF135" s="0"/>
      <c r="TG135" s="0"/>
      <c r="TH135" s="0"/>
      <c r="TI135" s="0"/>
      <c r="TJ135" s="0"/>
      <c r="TK135" s="0"/>
      <c r="TL135" s="0"/>
      <c r="TM135" s="0"/>
      <c r="TN135" s="0"/>
      <c r="TO135" s="0"/>
      <c r="TP135" s="0"/>
      <c r="TQ135" s="0"/>
      <c r="TR135" s="0"/>
      <c r="TS135" s="0"/>
      <c r="TT135" s="0"/>
      <c r="TU135" s="0"/>
      <c r="TV135" s="0"/>
      <c r="TW135" s="0"/>
      <c r="TX135" s="0"/>
      <c r="TY135" s="0"/>
      <c r="TZ135" s="0"/>
      <c r="UA135" s="0"/>
      <c r="UB135" s="0"/>
      <c r="UC135" s="0"/>
      <c r="UD135" s="0"/>
      <c r="UE135" s="0"/>
      <c r="UF135" s="0"/>
      <c r="UG135" s="0"/>
      <c r="UH135" s="0"/>
      <c r="UI135" s="0"/>
      <c r="UJ135" s="0"/>
      <c r="UK135" s="0"/>
      <c r="UL135" s="0"/>
      <c r="UM135" s="0"/>
      <c r="UN135" s="0"/>
      <c r="UO135" s="0"/>
      <c r="UP135" s="0"/>
      <c r="UQ135" s="0"/>
      <c r="UR135" s="0"/>
      <c r="US135" s="0"/>
      <c r="UT135" s="0"/>
      <c r="UU135" s="0"/>
      <c r="UV135" s="0"/>
      <c r="UW135" s="0"/>
      <c r="UX135" s="0"/>
      <c r="UY135" s="0"/>
      <c r="UZ135" s="0"/>
      <c r="VA135" s="0"/>
      <c r="VB135" s="0"/>
      <c r="VC135" s="0"/>
      <c r="VD135" s="0"/>
      <c r="VE135" s="0"/>
      <c r="VF135" s="0"/>
      <c r="VG135" s="0"/>
      <c r="VH135" s="0"/>
      <c r="VI135" s="0"/>
      <c r="VJ135" s="0"/>
      <c r="VK135" s="0"/>
      <c r="VL135" s="0"/>
      <c r="VM135" s="0"/>
      <c r="VN135" s="0"/>
      <c r="VO135" s="0"/>
      <c r="VP135" s="0"/>
      <c r="VQ135" s="0"/>
      <c r="VR135" s="0"/>
      <c r="VS135" s="0"/>
      <c r="VT135" s="0"/>
      <c r="VU135" s="0"/>
      <c r="VV135" s="0"/>
      <c r="VW135" s="0"/>
      <c r="VX135" s="0"/>
      <c r="VY135" s="0"/>
      <c r="VZ135" s="0"/>
      <c r="WA135" s="0"/>
      <c r="WB135" s="0"/>
      <c r="WC135" s="0"/>
      <c r="WD135" s="0"/>
      <c r="WE135" s="0"/>
      <c r="WF135" s="0"/>
      <c r="WG135" s="0"/>
      <c r="WH135" s="0"/>
      <c r="WI135" s="0"/>
      <c r="WJ135" s="0"/>
      <c r="WK135" s="0"/>
      <c r="WL135" s="0"/>
      <c r="WM135" s="0"/>
      <c r="WN135" s="0"/>
      <c r="WO135" s="0"/>
      <c r="WP135" s="0"/>
      <c r="WQ135" s="0"/>
      <c r="WR135" s="0"/>
      <c r="WS135" s="0"/>
      <c r="WT135" s="0"/>
      <c r="WU135" s="0"/>
      <c r="WV135" s="0"/>
      <c r="WW135" s="0"/>
      <c r="WX135" s="0"/>
      <c r="WY135" s="0"/>
      <c r="WZ135" s="0"/>
      <c r="XA135" s="0"/>
      <c r="XB135" s="0"/>
      <c r="XC135" s="0"/>
      <c r="XD135" s="0"/>
      <c r="XE135" s="0"/>
      <c r="XF135" s="0"/>
      <c r="XG135" s="0"/>
      <c r="XH135" s="0"/>
      <c r="XI135" s="0"/>
      <c r="XJ135" s="0"/>
      <c r="XK135" s="0"/>
      <c r="XL135" s="0"/>
      <c r="XM135" s="0"/>
      <c r="XN135" s="0"/>
      <c r="XO135" s="0"/>
      <c r="XP135" s="0"/>
      <c r="XQ135" s="0"/>
      <c r="XR135" s="0"/>
      <c r="XS135" s="0"/>
      <c r="XT135" s="0"/>
      <c r="XU135" s="0"/>
      <c r="XV135" s="0"/>
      <c r="XW135" s="0"/>
      <c r="XX135" s="0"/>
      <c r="XY135" s="0"/>
      <c r="XZ135" s="0"/>
      <c r="YA135" s="0"/>
      <c r="YB135" s="0"/>
      <c r="YC135" s="0"/>
      <c r="YD135" s="0"/>
      <c r="YE135" s="0"/>
      <c r="YF135" s="0"/>
      <c r="YG135" s="0"/>
      <c r="YH135" s="0"/>
      <c r="YI135" s="0"/>
      <c r="YJ135" s="0"/>
      <c r="YK135" s="0"/>
      <c r="YL135" s="0"/>
      <c r="YM135" s="0"/>
      <c r="YN135" s="0"/>
      <c r="YO135" s="0"/>
      <c r="YP135" s="0"/>
      <c r="YQ135" s="0"/>
      <c r="YR135" s="0"/>
      <c r="YS135" s="0"/>
      <c r="YT135" s="0"/>
      <c r="YU135" s="0"/>
      <c r="YV135" s="0"/>
      <c r="YW135" s="0"/>
      <c r="YX135" s="0"/>
      <c r="YY135" s="0"/>
      <c r="YZ135" s="0"/>
      <c r="ZA135" s="0"/>
      <c r="ZB135" s="0"/>
      <c r="ZC135" s="0"/>
      <c r="ZD135" s="0"/>
      <c r="ZE135" s="0"/>
      <c r="ZF135" s="0"/>
      <c r="ZG135" s="0"/>
      <c r="ZH135" s="0"/>
      <c r="ZI135" s="0"/>
      <c r="ZJ135" s="0"/>
      <c r="ZK135" s="0"/>
      <c r="ZL135" s="0"/>
      <c r="ZM135" s="0"/>
      <c r="ZN135" s="0"/>
      <c r="ZO135" s="0"/>
      <c r="ZP135" s="0"/>
      <c r="ZQ135" s="0"/>
      <c r="ZR135" s="0"/>
      <c r="ZS135" s="0"/>
      <c r="ZT135" s="0"/>
      <c r="ZU135" s="0"/>
      <c r="ZV135" s="0"/>
      <c r="ZW135" s="0"/>
      <c r="ZX135" s="0"/>
      <c r="ZY135" s="0"/>
      <c r="ZZ135" s="0"/>
      <c r="AAA135" s="0"/>
      <c r="AAB135" s="0"/>
      <c r="AAC135" s="0"/>
      <c r="AAD135" s="0"/>
      <c r="AAE135" s="0"/>
      <c r="AAF135" s="0"/>
      <c r="AAG135" s="0"/>
      <c r="AAH135" s="0"/>
      <c r="AAI135" s="0"/>
      <c r="AAJ135" s="0"/>
      <c r="AAK135" s="0"/>
      <c r="AAL135" s="0"/>
      <c r="AAM135" s="0"/>
      <c r="AAN135" s="0"/>
      <c r="AAO135" s="0"/>
      <c r="AAP135" s="0"/>
      <c r="AAQ135" s="0"/>
      <c r="AAR135" s="0"/>
      <c r="AAS135" s="0"/>
      <c r="AAT135" s="0"/>
      <c r="AAU135" s="0"/>
      <c r="AAV135" s="0"/>
      <c r="AAW135" s="0"/>
      <c r="AAX135" s="0"/>
      <c r="AAY135" s="0"/>
      <c r="AAZ135" s="0"/>
      <c r="ABA135" s="0"/>
      <c r="ABB135" s="0"/>
      <c r="ABC135" s="0"/>
      <c r="ABD135" s="0"/>
      <c r="ABE135" s="0"/>
      <c r="ABF135" s="0"/>
      <c r="ABG135" s="0"/>
      <c r="ABH135" s="0"/>
      <c r="ABI135" s="0"/>
      <c r="ABJ135" s="0"/>
      <c r="ABK135" s="0"/>
      <c r="ABL135" s="0"/>
      <c r="ABM135" s="0"/>
      <c r="ABN135" s="0"/>
      <c r="ABO135" s="0"/>
      <c r="ABP135" s="0"/>
      <c r="ABQ135" s="0"/>
      <c r="ABR135" s="0"/>
      <c r="ABS135" s="0"/>
      <c r="ABT135" s="0"/>
      <c r="ABU135" s="0"/>
      <c r="ABV135" s="0"/>
      <c r="ABW135" s="0"/>
      <c r="ABX135" s="0"/>
      <c r="ABY135" s="0"/>
      <c r="ABZ135" s="0"/>
      <c r="ACA135" s="0"/>
      <c r="ACB135" s="0"/>
      <c r="ACC135" s="0"/>
      <c r="ACD135" s="0"/>
      <c r="ACE135" s="0"/>
      <c r="ACF135" s="0"/>
      <c r="ACG135" s="0"/>
      <c r="ACH135" s="0"/>
      <c r="ACI135" s="0"/>
      <c r="ACJ135" s="0"/>
      <c r="ACK135" s="0"/>
      <c r="ACL135" s="0"/>
      <c r="ACM135" s="0"/>
      <c r="ACN135" s="0"/>
      <c r="ACO135" s="0"/>
      <c r="ACP135" s="0"/>
      <c r="ACQ135" s="0"/>
      <c r="ACR135" s="0"/>
      <c r="ACS135" s="0"/>
      <c r="ACT135" s="0"/>
      <c r="ACU135" s="0"/>
      <c r="ACV135" s="0"/>
      <c r="ACW135" s="0"/>
      <c r="ACX135" s="0"/>
      <c r="ACY135" s="0"/>
      <c r="ACZ135" s="0"/>
      <c r="ADA135" s="0"/>
      <c r="ADB135" s="0"/>
      <c r="ADC135" s="0"/>
      <c r="ADD135" s="0"/>
      <c r="ADE135" s="0"/>
      <c r="ADF135" s="0"/>
      <c r="ADG135" s="0"/>
      <c r="ADH135" s="0"/>
      <c r="ADI135" s="0"/>
      <c r="ADJ135" s="0"/>
      <c r="ADK135" s="0"/>
      <c r="ADL135" s="0"/>
      <c r="ADM135" s="0"/>
      <c r="ADN135" s="0"/>
      <c r="ADO135" s="0"/>
      <c r="ADP135" s="0"/>
      <c r="ADQ135" s="0"/>
      <c r="ADR135" s="0"/>
      <c r="ADS135" s="0"/>
      <c r="ADT135" s="0"/>
      <c r="ADU135" s="0"/>
      <c r="ADV135" s="0"/>
      <c r="ADW135" s="0"/>
      <c r="ADX135" s="0"/>
      <c r="ADY135" s="0"/>
      <c r="ADZ135" s="0"/>
      <c r="AEA135" s="0"/>
      <c r="AEB135" s="0"/>
      <c r="AEC135" s="0"/>
      <c r="AED135" s="0"/>
      <c r="AEE135" s="0"/>
      <c r="AEF135" s="0"/>
      <c r="AEG135" s="0"/>
      <c r="AEH135" s="0"/>
      <c r="AEI135" s="0"/>
      <c r="AEJ135" s="0"/>
      <c r="AEK135" s="0"/>
      <c r="AEL135" s="0"/>
      <c r="AEM135" s="0"/>
      <c r="AEN135" s="0"/>
      <c r="AEO135" s="0"/>
      <c r="AEP135" s="0"/>
      <c r="AEQ135" s="0"/>
      <c r="AER135" s="0"/>
      <c r="AES135" s="0"/>
      <c r="AET135" s="0"/>
      <c r="AEU135" s="0"/>
      <c r="AEV135" s="0"/>
      <c r="AEW135" s="0"/>
      <c r="AEX135" s="0"/>
      <c r="AEY135" s="0"/>
      <c r="AEZ135" s="0"/>
      <c r="AFA135" s="0"/>
      <c r="AFB135" s="0"/>
      <c r="AFC135" s="0"/>
      <c r="AFD135" s="0"/>
      <c r="AFE135" s="0"/>
      <c r="AFF135" s="0"/>
      <c r="AFG135" s="0"/>
      <c r="AFH135" s="0"/>
      <c r="AFI135" s="0"/>
      <c r="AFJ135" s="0"/>
      <c r="AFK135" s="0"/>
      <c r="AFL135" s="0"/>
      <c r="AFM135" s="0"/>
      <c r="AFN135" s="0"/>
      <c r="AFO135" s="0"/>
      <c r="AFP135" s="0"/>
      <c r="AFQ135" s="0"/>
      <c r="AFR135" s="0"/>
      <c r="AFS135" s="0"/>
      <c r="AFT135" s="0"/>
      <c r="AFU135" s="0"/>
      <c r="AFV135" s="0"/>
      <c r="AFW135" s="0"/>
      <c r="AFX135" s="0"/>
      <c r="AFY135" s="0"/>
      <c r="AFZ135" s="0"/>
      <c r="AGA135" s="0"/>
      <c r="AGB135" s="0"/>
      <c r="AGC135" s="0"/>
      <c r="AGD135" s="0"/>
      <c r="AGE135" s="0"/>
      <c r="AGF135" s="0"/>
      <c r="AGG135" s="0"/>
      <c r="AGH135" s="0"/>
      <c r="AGI135" s="0"/>
      <c r="AGJ135" s="0"/>
      <c r="AGK135" s="0"/>
      <c r="AGL135" s="0"/>
      <c r="AGM135" s="0"/>
      <c r="AGN135" s="0"/>
      <c r="AGO135" s="0"/>
      <c r="AGP135" s="0"/>
      <c r="AGQ135" s="0"/>
      <c r="AGR135" s="0"/>
      <c r="AGS135" s="0"/>
      <c r="AGT135" s="0"/>
      <c r="AGU135" s="0"/>
      <c r="AGV135" s="0"/>
      <c r="AGW135" s="0"/>
      <c r="AGX135" s="0"/>
      <c r="AGY135" s="0"/>
      <c r="AGZ135" s="0"/>
      <c r="AHA135" s="0"/>
      <c r="AHB135" s="0"/>
      <c r="AHC135" s="0"/>
      <c r="AHD135" s="0"/>
      <c r="AHE135" s="0"/>
      <c r="AHF135" s="0"/>
      <c r="AHG135" s="0"/>
      <c r="AHH135" s="0"/>
      <c r="AHI135" s="0"/>
      <c r="AHJ135" s="0"/>
      <c r="AHK135" s="0"/>
      <c r="AHL135" s="0"/>
      <c r="AHM135" s="0"/>
      <c r="AHN135" s="0"/>
      <c r="AHO135" s="0"/>
      <c r="AHP135" s="0"/>
      <c r="AHQ135" s="0"/>
      <c r="AHR135" s="0"/>
      <c r="AHS135" s="0"/>
      <c r="AHT135" s="0"/>
      <c r="AHU135" s="0"/>
      <c r="AHV135" s="0"/>
      <c r="AHW135" s="0"/>
      <c r="AHX135" s="0"/>
      <c r="AHY135" s="0"/>
      <c r="AHZ135" s="0"/>
      <c r="AIA135" s="0"/>
      <c r="AIB135" s="0"/>
      <c r="AIC135" s="0"/>
      <c r="AID135" s="0"/>
      <c r="AIE135" s="0"/>
      <c r="AIF135" s="0"/>
      <c r="AIG135" s="0"/>
      <c r="AIH135" s="0"/>
      <c r="AII135" s="0"/>
      <c r="AIJ135" s="0"/>
      <c r="AIK135" s="0"/>
      <c r="AIL135" s="0"/>
      <c r="AIM135" s="0"/>
      <c r="AIN135" s="0"/>
      <c r="AIO135" s="0"/>
      <c r="AIP135" s="0"/>
      <c r="AIQ135" s="0"/>
      <c r="AIR135" s="0"/>
      <c r="AIS135" s="0"/>
      <c r="AIT135" s="0"/>
      <c r="AIU135" s="0"/>
      <c r="AIV135" s="0"/>
      <c r="AIW135" s="0"/>
      <c r="AIX135" s="0"/>
      <c r="AIY135" s="0"/>
      <c r="AIZ135" s="0"/>
      <c r="AJA135" s="0"/>
      <c r="AJB135" s="0"/>
      <c r="AJC135" s="0"/>
      <c r="AJD135" s="0"/>
      <c r="AJE135" s="0"/>
      <c r="AJF135" s="0"/>
      <c r="AJG135" s="0"/>
      <c r="AJH135" s="0"/>
      <c r="AJI135" s="0"/>
      <c r="AJJ135" s="0"/>
      <c r="AJK135" s="0"/>
      <c r="AJL135" s="0"/>
      <c r="AJM135" s="0"/>
      <c r="AJN135" s="0"/>
      <c r="AJO135" s="0"/>
      <c r="AJP135" s="0"/>
      <c r="AJQ135" s="0"/>
      <c r="AJR135" s="0"/>
      <c r="AJS135" s="0"/>
      <c r="AJT135" s="0"/>
      <c r="AJU135" s="0"/>
      <c r="AJV135" s="0"/>
      <c r="AJW135" s="0"/>
      <c r="AJX135" s="0"/>
      <c r="AJY135" s="0"/>
      <c r="AJZ135" s="0"/>
      <c r="AKA135" s="0"/>
      <c r="AKB135" s="0"/>
      <c r="AKC135" s="0"/>
      <c r="AKD135" s="0"/>
      <c r="AKE135" s="0"/>
      <c r="AKF135" s="0"/>
      <c r="AKG135" s="0"/>
      <c r="AKH135" s="0"/>
      <c r="AKI135" s="0"/>
      <c r="AKJ135" s="0"/>
      <c r="AKK135" s="0"/>
      <c r="AKL135" s="0"/>
      <c r="AKM135" s="0"/>
      <c r="AKN135" s="0"/>
      <c r="AKO135" s="0"/>
      <c r="AKP135" s="0"/>
      <c r="AKQ135" s="0"/>
      <c r="AKR135" s="0"/>
      <c r="AKS135" s="0"/>
      <c r="AKT135" s="0"/>
      <c r="AKU135" s="0"/>
      <c r="AKV135" s="0"/>
      <c r="AKW135" s="0"/>
      <c r="AKX135" s="0"/>
      <c r="AKY135" s="0"/>
      <c r="AKZ135" s="0"/>
      <c r="ALA135" s="0"/>
      <c r="ALB135" s="0"/>
      <c r="ALC135" s="0"/>
      <c r="ALD135" s="0"/>
      <c r="ALE135" s="0"/>
      <c r="ALF135" s="0"/>
      <c r="ALG135" s="0"/>
      <c r="ALH135" s="0"/>
      <c r="ALI135" s="0"/>
      <c r="ALJ135" s="0"/>
      <c r="ALK135" s="0"/>
      <c r="ALL135" s="0"/>
      <c r="ALM135" s="0"/>
      <c r="ALN135" s="0"/>
      <c r="ALO135" s="0"/>
      <c r="ALP135" s="0"/>
      <c r="ALQ135" s="0"/>
      <c r="ALR135" s="0"/>
      <c r="ALS135" s="0"/>
      <c r="ALT135" s="0"/>
      <c r="ALU135" s="0"/>
      <c r="ALV135" s="0"/>
      <c r="ALW135" s="0"/>
      <c r="ALX135" s="0"/>
      <c r="ALY135" s="0"/>
      <c r="ALZ135" s="0"/>
      <c r="AMA135" s="0"/>
      <c r="AMB135" s="0"/>
      <c r="AMC135" s="0"/>
      <c r="AMD135" s="0"/>
      <c r="AME135" s="0"/>
      <c r="AMF135" s="0"/>
      <c r="AMG135" s="0"/>
      <c r="AMH135" s="0"/>
      <c r="AMI135" s="0"/>
      <c r="AMJ135" s="0"/>
    </row>
    <row r="136" customFormat="false" ht="14.4" hidden="false" customHeight="false" outlineLevel="0" collapsed="false">
      <c r="B136" s="14" t="s">
        <v>195</v>
      </c>
      <c r="E136" s="19" t="n">
        <v>800</v>
      </c>
      <c r="F136" s="38"/>
      <c r="H136" s="39" t="s">
        <v>191</v>
      </c>
      <c r="I136" s="19" t="n">
        <v>800</v>
      </c>
      <c r="J136" s="19" t="n">
        <v>0.045</v>
      </c>
      <c r="K136" s="19" t="n">
        <v>0.008</v>
      </c>
      <c r="L136" s="23"/>
      <c r="R136" s="21" t="n">
        <f aca="false">A136*N136</f>
        <v>0</v>
      </c>
      <c r="T136" s="22" t="e">
        <f aca="false">(G136-F136)/H136/E136</f>
        <v>#VALUE!</v>
      </c>
      <c r="Z136" s="40" t="s">
        <v>161</v>
      </c>
      <c r="AA136" s="19" t="s">
        <v>162</v>
      </c>
      <c r="AB136" s="41" t="n">
        <v>2011</v>
      </c>
      <c r="AC136" s="40" t="s">
        <v>196</v>
      </c>
      <c r="AH136" s="19" t="n">
        <v>0.36</v>
      </c>
      <c r="AO136" s="40"/>
      <c r="AW136" s="19" t="s">
        <v>197</v>
      </c>
      <c r="AX136" s="41" t="n">
        <v>0</v>
      </c>
    </row>
    <row r="137" customFormat="false" ht="14.4" hidden="false" customHeight="false" outlineLevel="0" collapsed="false">
      <c r="B137" s="14" t="s">
        <v>195</v>
      </c>
      <c r="E137" s="19" t="n">
        <v>650</v>
      </c>
      <c r="F137" s="38"/>
      <c r="H137" s="39" t="s">
        <v>191</v>
      </c>
      <c r="I137" s="19" t="n">
        <v>800</v>
      </c>
      <c r="J137" s="19" t="n">
        <v>0.045</v>
      </c>
      <c r="K137" s="19" t="n">
        <v>0.008</v>
      </c>
      <c r="L137" s="23"/>
      <c r="R137" s="21" t="n">
        <f aca="false">A137*N137</f>
        <v>0</v>
      </c>
      <c r="T137" s="22" t="e">
        <f aca="false">(G137-F137)/H137/E137</f>
        <v>#VALUE!</v>
      </c>
      <c r="Z137" s="40" t="s">
        <v>161</v>
      </c>
      <c r="AA137" s="19" t="s">
        <v>162</v>
      </c>
      <c r="AB137" s="41" t="n">
        <v>2011</v>
      </c>
      <c r="AC137" s="40" t="s">
        <v>122</v>
      </c>
      <c r="AH137" s="19" t="n">
        <v>1.35</v>
      </c>
      <c r="AO137" s="40"/>
      <c r="AW137" s="19" t="s">
        <v>197</v>
      </c>
      <c r="AX137" s="41" t="n">
        <v>0</v>
      </c>
    </row>
    <row r="138" customFormat="false" ht="14.4" hidden="false" customHeight="false" outlineLevel="0" collapsed="false">
      <c r="B138" s="14" t="s">
        <v>195</v>
      </c>
      <c r="E138" s="19" t="n">
        <v>600</v>
      </c>
      <c r="F138" s="38"/>
      <c r="H138" s="39" t="s">
        <v>191</v>
      </c>
      <c r="I138" s="19" t="n">
        <v>800</v>
      </c>
      <c r="J138" s="19" t="n">
        <v>0.045</v>
      </c>
      <c r="K138" s="19" t="n">
        <v>0.008</v>
      </c>
      <c r="L138" s="23"/>
      <c r="R138" s="21" t="n">
        <f aca="false">A138*N138</f>
        <v>0</v>
      </c>
      <c r="T138" s="22" t="e">
        <f aca="false">(G138-F138)/H138/E138</f>
        <v>#VALUE!</v>
      </c>
      <c r="Z138" s="40" t="s">
        <v>161</v>
      </c>
      <c r="AA138" s="19" t="s">
        <v>162</v>
      </c>
      <c r="AB138" s="41" t="n">
        <v>2011</v>
      </c>
      <c r="AC138" s="40" t="s">
        <v>164</v>
      </c>
      <c r="AH138" s="19" t="n">
        <v>1.42</v>
      </c>
      <c r="AO138" s="40"/>
      <c r="AW138" s="19" t="s">
        <v>197</v>
      </c>
      <c r="AX138" s="41" t="n">
        <v>0</v>
      </c>
    </row>
    <row r="139" customFormat="false" ht="14.4" hidden="false" customHeight="false" outlineLevel="0" collapsed="false">
      <c r="B139" s="14" t="s">
        <v>195</v>
      </c>
      <c r="E139" s="19" t="n">
        <v>200</v>
      </c>
      <c r="F139" s="38"/>
      <c r="H139" s="39" t="s">
        <v>191</v>
      </c>
      <c r="I139" s="19" t="n">
        <v>800</v>
      </c>
      <c r="J139" s="19" t="n">
        <v>0.045</v>
      </c>
      <c r="K139" s="19" t="n">
        <v>0.008</v>
      </c>
      <c r="L139" s="23"/>
      <c r="R139" s="21" t="n">
        <f aca="false">A139*N139</f>
        <v>0</v>
      </c>
      <c r="T139" s="22" t="e">
        <f aca="false">(G139-F139)/H139/E139</f>
        <v>#VALUE!</v>
      </c>
      <c r="Z139" s="40" t="s">
        <v>161</v>
      </c>
      <c r="AA139" s="19" t="s">
        <v>162</v>
      </c>
      <c r="AB139" s="41" t="n">
        <v>2011</v>
      </c>
      <c r="AC139" s="40" t="s">
        <v>163</v>
      </c>
      <c r="AH139" s="19" t="n">
        <v>2.3</v>
      </c>
      <c r="AO139" s="40"/>
      <c r="AW139" s="19" t="s">
        <v>197</v>
      </c>
      <c r="AX139" s="41" t="n">
        <v>0</v>
      </c>
    </row>
    <row r="140" customFormat="false" ht="14.4" hidden="false" customHeight="false" outlineLevel="0" collapsed="false">
      <c r="B140" s="14" t="s">
        <v>195</v>
      </c>
      <c r="E140" s="19" t="n">
        <v>200</v>
      </c>
      <c r="F140" s="38"/>
      <c r="H140" s="39" t="s">
        <v>191</v>
      </c>
      <c r="I140" s="19" t="n">
        <v>800</v>
      </c>
      <c r="J140" s="19" t="n">
        <v>0.045</v>
      </c>
      <c r="K140" s="19" t="n">
        <v>0.008</v>
      </c>
      <c r="L140" s="23"/>
      <c r="R140" s="21" t="n">
        <f aca="false">A140*N140</f>
        <v>0</v>
      </c>
      <c r="T140" s="22" t="e">
        <f aca="false">(G140-F140)/H140/E140</f>
        <v>#VALUE!</v>
      </c>
      <c r="Z140" s="40" t="s">
        <v>161</v>
      </c>
      <c r="AA140" s="19" t="s">
        <v>162</v>
      </c>
      <c r="AB140" s="41" t="n">
        <v>2011</v>
      </c>
      <c r="AC140" s="40" t="s">
        <v>198</v>
      </c>
      <c r="AH140" s="19" t="n">
        <v>2.82</v>
      </c>
      <c r="AO140" s="40"/>
      <c r="AW140" s="19" t="s">
        <v>197</v>
      </c>
      <c r="AX140" s="41" t="n">
        <v>0</v>
      </c>
    </row>
    <row r="141" customFormat="false" ht="14.4" hidden="false" customHeight="false" outlineLevel="0" collapsed="false">
      <c r="B141" s="14" t="s">
        <v>195</v>
      </c>
      <c r="E141" s="19" t="n">
        <v>200</v>
      </c>
      <c r="F141" s="38"/>
      <c r="H141" s="39" t="s">
        <v>191</v>
      </c>
      <c r="I141" s="19" t="n">
        <v>800</v>
      </c>
      <c r="J141" s="19" t="n">
        <v>0.045</v>
      </c>
      <c r="K141" s="19" t="n">
        <v>0.008</v>
      </c>
      <c r="L141" s="23"/>
      <c r="R141" s="21" t="n">
        <f aca="false">A141*N141</f>
        <v>0</v>
      </c>
      <c r="T141" s="22" t="e">
        <f aca="false">(G141-F141)/H141/E141</f>
        <v>#VALUE!</v>
      </c>
      <c r="Z141" s="40" t="s">
        <v>161</v>
      </c>
      <c r="AA141" s="19" t="s">
        <v>162</v>
      </c>
      <c r="AB141" s="41" t="n">
        <v>2011</v>
      </c>
      <c r="AC141" s="40" t="s">
        <v>165</v>
      </c>
      <c r="AH141" s="19" t="n">
        <v>3.4</v>
      </c>
      <c r="AO141" s="40"/>
      <c r="AW141" s="19" t="s">
        <v>197</v>
      </c>
      <c r="AX141" s="41" t="n">
        <v>0</v>
      </c>
    </row>
    <row r="142" customFormat="false" ht="14.4" hidden="false" customHeight="false" outlineLevel="0" collapsed="false">
      <c r="B142" s="14" t="s">
        <v>195</v>
      </c>
      <c r="E142" s="19" t="n">
        <v>150</v>
      </c>
      <c r="F142" s="38"/>
      <c r="H142" s="39" t="s">
        <v>191</v>
      </c>
      <c r="I142" s="19" t="n">
        <v>800</v>
      </c>
      <c r="J142" s="19" t="n">
        <v>0.045</v>
      </c>
      <c r="K142" s="19" t="n">
        <v>0.008</v>
      </c>
      <c r="L142" s="23"/>
      <c r="R142" s="21" t="n">
        <f aca="false">A142*N142</f>
        <v>0</v>
      </c>
      <c r="T142" s="22" t="e">
        <f aca="false">(G142-F142)/H142/E142</f>
        <v>#VALUE!</v>
      </c>
      <c r="Z142" s="40" t="s">
        <v>161</v>
      </c>
      <c r="AA142" s="19" t="s">
        <v>162</v>
      </c>
      <c r="AB142" s="41" t="n">
        <v>2011</v>
      </c>
      <c r="AC142" s="40" t="s">
        <v>166</v>
      </c>
      <c r="AH142" s="19" t="n">
        <v>3.37</v>
      </c>
      <c r="AO142" s="40"/>
      <c r="AW142" s="19" t="s">
        <v>197</v>
      </c>
      <c r="AX142" s="41" t="n">
        <v>0</v>
      </c>
    </row>
    <row r="143" customFormat="false" ht="14.4" hidden="false" customHeight="false" outlineLevel="0" collapsed="false">
      <c r="A143" s="80" t="n">
        <f aca="false">(B143/83)*100</f>
        <v>1.68674698795181</v>
      </c>
      <c r="B143" s="14" t="n">
        <v>1.4</v>
      </c>
      <c r="C143" s="14" t="s">
        <v>199</v>
      </c>
      <c r="E143" s="19" t="n">
        <v>150</v>
      </c>
      <c r="F143" s="38"/>
      <c r="H143" s="39" t="s">
        <v>191</v>
      </c>
      <c r="I143" s="19" t="n">
        <v>800</v>
      </c>
      <c r="J143" s="19" t="n">
        <v>0.21</v>
      </c>
      <c r="P143" s="19" t="n">
        <v>0</v>
      </c>
      <c r="R143" s="21" t="n">
        <f aca="false">A143*N143</f>
        <v>0</v>
      </c>
      <c r="T143" s="22" t="e">
        <f aca="false">(G143-F143)/H143/E143</f>
        <v>#VALUE!</v>
      </c>
      <c r="V143" s="0"/>
      <c r="W143" s="0"/>
      <c r="X143" s="0"/>
      <c r="Y143" s="0"/>
      <c r="Z143" s="40" t="s">
        <v>200</v>
      </c>
      <c r="AA143" s="19" t="s">
        <v>201</v>
      </c>
      <c r="AB143" s="41" t="n">
        <v>2014</v>
      </c>
      <c r="AC143" s="40" t="s">
        <v>202</v>
      </c>
      <c r="AE143" s="19" t="n">
        <v>500</v>
      </c>
      <c r="AH143" s="19" t="n">
        <v>3.2</v>
      </c>
      <c r="AO143" s="40"/>
      <c r="AX143" s="41" t="n">
        <v>0</v>
      </c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/>
      <c r="MZ143" s="0"/>
      <c r="NA143" s="0"/>
      <c r="NB143" s="0"/>
      <c r="NC143" s="0"/>
      <c r="ND143" s="0"/>
      <c r="NE143" s="0"/>
      <c r="NF143" s="0"/>
      <c r="NG143" s="0"/>
      <c r="NH143" s="0"/>
      <c r="NI143" s="0"/>
      <c r="NJ143" s="0"/>
      <c r="NK143" s="0"/>
      <c r="NL143" s="0"/>
      <c r="NM143" s="0"/>
      <c r="NN143" s="0"/>
      <c r="NO143" s="0"/>
      <c r="NP143" s="0"/>
      <c r="NQ143" s="0"/>
      <c r="NR143" s="0"/>
      <c r="NS143" s="0"/>
      <c r="NT143" s="0"/>
      <c r="NU143" s="0"/>
      <c r="NV143" s="0"/>
      <c r="NW143" s="0"/>
      <c r="NX143" s="0"/>
      <c r="NY143" s="0"/>
      <c r="NZ143" s="0"/>
      <c r="OA143" s="0"/>
      <c r="OB143" s="0"/>
      <c r="OC143" s="0"/>
      <c r="OD143" s="0"/>
      <c r="OE143" s="0"/>
      <c r="OF143" s="0"/>
      <c r="OG143" s="0"/>
      <c r="OH143" s="0"/>
      <c r="OI143" s="0"/>
      <c r="OJ143" s="0"/>
      <c r="OK143" s="0"/>
      <c r="OL143" s="0"/>
      <c r="OM143" s="0"/>
      <c r="ON143" s="0"/>
      <c r="OO143" s="0"/>
      <c r="OP143" s="0"/>
      <c r="OQ143" s="0"/>
      <c r="OR143" s="0"/>
      <c r="OS143" s="0"/>
      <c r="OT143" s="0"/>
      <c r="OU143" s="0"/>
      <c r="OV143" s="0"/>
      <c r="OW143" s="0"/>
      <c r="OX143" s="0"/>
      <c r="OY143" s="0"/>
      <c r="OZ143" s="0"/>
      <c r="PA143" s="0"/>
      <c r="PB143" s="0"/>
      <c r="PC143" s="0"/>
      <c r="PD143" s="0"/>
      <c r="PE143" s="0"/>
      <c r="PF143" s="0"/>
      <c r="PG143" s="0"/>
      <c r="PH143" s="0"/>
      <c r="PI143" s="0"/>
      <c r="PJ143" s="0"/>
      <c r="PK143" s="0"/>
      <c r="PL143" s="0"/>
      <c r="PM143" s="0"/>
      <c r="PN143" s="0"/>
      <c r="PO143" s="0"/>
      <c r="PP143" s="0"/>
      <c r="PQ143" s="0"/>
      <c r="PR143" s="0"/>
      <c r="PS143" s="0"/>
      <c r="PT143" s="0"/>
      <c r="PU143" s="0"/>
      <c r="PV143" s="0"/>
      <c r="PW143" s="0"/>
      <c r="PX143" s="0"/>
      <c r="PY143" s="0"/>
      <c r="PZ143" s="0"/>
      <c r="QA143" s="0"/>
      <c r="QB143" s="0"/>
      <c r="QC143" s="0"/>
      <c r="QD143" s="0"/>
      <c r="QE143" s="0"/>
      <c r="QF143" s="0"/>
      <c r="QG143" s="0"/>
      <c r="QH143" s="0"/>
      <c r="QI143" s="0"/>
      <c r="QJ143" s="0"/>
      <c r="QK143" s="0"/>
      <c r="QL143" s="0"/>
      <c r="QM143" s="0"/>
      <c r="QN143" s="0"/>
      <c r="QO143" s="0"/>
      <c r="QP143" s="0"/>
      <c r="QQ143" s="0"/>
      <c r="QR143" s="0"/>
      <c r="QS143" s="0"/>
      <c r="QT143" s="0"/>
      <c r="QU143" s="0"/>
      <c r="QV143" s="0"/>
      <c r="QW143" s="0"/>
      <c r="QX143" s="0"/>
      <c r="QY143" s="0"/>
      <c r="QZ143" s="0"/>
      <c r="RA143" s="0"/>
      <c r="RB143" s="0"/>
      <c r="RC143" s="0"/>
      <c r="RD143" s="0"/>
      <c r="RE143" s="0"/>
      <c r="RF143" s="0"/>
      <c r="RG143" s="0"/>
      <c r="RH143" s="0"/>
      <c r="RI143" s="0"/>
      <c r="RJ143" s="0"/>
      <c r="RK143" s="0"/>
      <c r="RL143" s="0"/>
      <c r="RM143" s="0"/>
      <c r="RN143" s="0"/>
      <c r="RO143" s="0"/>
      <c r="RP143" s="0"/>
      <c r="RQ143" s="0"/>
      <c r="RR143" s="0"/>
      <c r="RS143" s="0"/>
      <c r="RT143" s="0"/>
      <c r="RU143" s="0"/>
      <c r="RV143" s="0"/>
      <c r="RW143" s="0"/>
      <c r="RX143" s="0"/>
      <c r="RY143" s="0"/>
      <c r="RZ143" s="0"/>
      <c r="SA143" s="0"/>
      <c r="SB143" s="0"/>
      <c r="SC143" s="0"/>
      <c r="SD143" s="0"/>
      <c r="SE143" s="0"/>
      <c r="SF143" s="0"/>
      <c r="SG143" s="0"/>
      <c r="SH143" s="0"/>
      <c r="SI143" s="0"/>
      <c r="SJ143" s="0"/>
      <c r="SK143" s="0"/>
      <c r="SL143" s="0"/>
      <c r="SM143" s="0"/>
      <c r="SN143" s="0"/>
      <c r="SO143" s="0"/>
      <c r="SP143" s="0"/>
      <c r="SQ143" s="0"/>
      <c r="SR143" s="0"/>
      <c r="SS143" s="0"/>
      <c r="ST143" s="0"/>
      <c r="SU143" s="0"/>
      <c r="SV143" s="0"/>
      <c r="SW143" s="0"/>
      <c r="SX143" s="0"/>
      <c r="SY143" s="0"/>
      <c r="SZ143" s="0"/>
      <c r="TA143" s="0"/>
      <c r="TB143" s="0"/>
      <c r="TC143" s="0"/>
      <c r="TD143" s="0"/>
      <c r="TE143" s="0"/>
      <c r="TF143" s="0"/>
      <c r="TG143" s="0"/>
      <c r="TH143" s="0"/>
      <c r="TI143" s="0"/>
      <c r="TJ143" s="0"/>
      <c r="TK143" s="0"/>
      <c r="TL143" s="0"/>
      <c r="TM143" s="0"/>
      <c r="TN143" s="0"/>
      <c r="TO143" s="0"/>
      <c r="TP143" s="0"/>
      <c r="TQ143" s="0"/>
      <c r="TR143" s="0"/>
      <c r="TS143" s="0"/>
      <c r="TT143" s="0"/>
      <c r="TU143" s="0"/>
      <c r="TV143" s="0"/>
      <c r="TW143" s="0"/>
      <c r="TX143" s="0"/>
      <c r="TY143" s="0"/>
      <c r="TZ143" s="0"/>
      <c r="UA143" s="0"/>
      <c r="UB143" s="0"/>
      <c r="UC143" s="0"/>
      <c r="UD143" s="0"/>
      <c r="UE143" s="0"/>
      <c r="UF143" s="0"/>
      <c r="UG143" s="0"/>
      <c r="UH143" s="0"/>
      <c r="UI143" s="0"/>
      <c r="UJ143" s="0"/>
      <c r="UK143" s="0"/>
      <c r="UL143" s="0"/>
      <c r="UM143" s="0"/>
      <c r="UN143" s="0"/>
      <c r="UO143" s="0"/>
      <c r="UP143" s="0"/>
      <c r="UQ143" s="0"/>
      <c r="UR143" s="0"/>
      <c r="US143" s="0"/>
      <c r="UT143" s="0"/>
      <c r="UU143" s="0"/>
      <c r="UV143" s="0"/>
      <c r="UW143" s="0"/>
      <c r="UX143" s="0"/>
      <c r="UY143" s="0"/>
      <c r="UZ143" s="0"/>
      <c r="VA143" s="0"/>
      <c r="VB143" s="0"/>
      <c r="VC143" s="0"/>
      <c r="VD143" s="0"/>
      <c r="VE143" s="0"/>
      <c r="VF143" s="0"/>
      <c r="VG143" s="0"/>
      <c r="VH143" s="0"/>
      <c r="VI143" s="0"/>
      <c r="VJ143" s="0"/>
      <c r="VK143" s="0"/>
      <c r="VL143" s="0"/>
      <c r="VM143" s="0"/>
      <c r="VN143" s="0"/>
      <c r="VO143" s="0"/>
      <c r="VP143" s="0"/>
      <c r="VQ143" s="0"/>
      <c r="VR143" s="0"/>
      <c r="VS143" s="0"/>
      <c r="VT143" s="0"/>
      <c r="VU143" s="0"/>
      <c r="VV143" s="0"/>
      <c r="VW143" s="0"/>
      <c r="VX143" s="0"/>
      <c r="VY143" s="0"/>
      <c r="VZ143" s="0"/>
      <c r="WA143" s="0"/>
      <c r="WB143" s="0"/>
      <c r="WC143" s="0"/>
      <c r="WD143" s="0"/>
      <c r="WE143" s="0"/>
      <c r="WF143" s="0"/>
      <c r="WG143" s="0"/>
      <c r="WH143" s="0"/>
      <c r="WI143" s="0"/>
      <c r="WJ143" s="0"/>
      <c r="WK143" s="0"/>
      <c r="WL143" s="0"/>
      <c r="WM143" s="0"/>
      <c r="WN143" s="0"/>
      <c r="WO143" s="0"/>
      <c r="WP143" s="0"/>
      <c r="WQ143" s="0"/>
      <c r="WR143" s="0"/>
      <c r="WS143" s="0"/>
      <c r="WT143" s="0"/>
      <c r="WU143" s="0"/>
      <c r="WV143" s="0"/>
      <c r="WW143" s="0"/>
      <c r="WX143" s="0"/>
      <c r="WY143" s="0"/>
      <c r="WZ143" s="0"/>
      <c r="XA143" s="0"/>
      <c r="XB143" s="0"/>
      <c r="XC143" s="0"/>
      <c r="XD143" s="0"/>
      <c r="XE143" s="0"/>
      <c r="XF143" s="0"/>
      <c r="XG143" s="0"/>
      <c r="XH143" s="0"/>
      <c r="XI143" s="0"/>
      <c r="XJ143" s="0"/>
      <c r="XK143" s="0"/>
      <c r="XL143" s="0"/>
      <c r="XM143" s="0"/>
      <c r="XN143" s="0"/>
      <c r="XO143" s="0"/>
      <c r="XP143" s="0"/>
      <c r="XQ143" s="0"/>
      <c r="XR143" s="0"/>
      <c r="XS143" s="0"/>
      <c r="XT143" s="0"/>
      <c r="XU143" s="0"/>
      <c r="XV143" s="0"/>
      <c r="XW143" s="0"/>
      <c r="XX143" s="0"/>
      <c r="XY143" s="0"/>
      <c r="XZ143" s="0"/>
      <c r="YA143" s="0"/>
      <c r="YB143" s="0"/>
      <c r="YC143" s="0"/>
      <c r="YD143" s="0"/>
      <c r="YE143" s="0"/>
      <c r="YF143" s="0"/>
      <c r="YG143" s="0"/>
      <c r="YH143" s="0"/>
      <c r="YI143" s="0"/>
      <c r="YJ143" s="0"/>
      <c r="YK143" s="0"/>
      <c r="YL143" s="0"/>
      <c r="YM143" s="0"/>
      <c r="YN143" s="0"/>
      <c r="YO143" s="0"/>
      <c r="YP143" s="0"/>
      <c r="YQ143" s="0"/>
      <c r="YR143" s="0"/>
      <c r="YS143" s="0"/>
      <c r="YT143" s="0"/>
      <c r="YU143" s="0"/>
      <c r="YV143" s="0"/>
      <c r="YW143" s="0"/>
      <c r="YX143" s="0"/>
      <c r="YY143" s="0"/>
      <c r="YZ143" s="0"/>
      <c r="ZA143" s="0"/>
      <c r="ZB143" s="0"/>
      <c r="ZC143" s="0"/>
      <c r="ZD143" s="0"/>
      <c r="ZE143" s="0"/>
      <c r="ZF143" s="0"/>
      <c r="ZG143" s="0"/>
      <c r="ZH143" s="0"/>
      <c r="ZI143" s="0"/>
      <c r="ZJ143" s="0"/>
      <c r="ZK143" s="0"/>
      <c r="ZL143" s="0"/>
      <c r="ZM143" s="0"/>
      <c r="ZN143" s="0"/>
      <c r="ZO143" s="0"/>
      <c r="ZP143" s="0"/>
      <c r="ZQ143" s="0"/>
      <c r="ZR143" s="0"/>
      <c r="ZS143" s="0"/>
      <c r="ZT143" s="0"/>
      <c r="ZU143" s="0"/>
      <c r="ZV143" s="0"/>
      <c r="ZW143" s="0"/>
      <c r="ZX143" s="0"/>
      <c r="ZY143" s="0"/>
      <c r="ZZ143" s="0"/>
      <c r="AAA143" s="0"/>
      <c r="AAB143" s="0"/>
      <c r="AAC143" s="0"/>
      <c r="AAD143" s="0"/>
      <c r="AAE143" s="0"/>
      <c r="AAF143" s="0"/>
      <c r="AAG143" s="0"/>
      <c r="AAH143" s="0"/>
      <c r="AAI143" s="0"/>
      <c r="AAJ143" s="0"/>
      <c r="AAK143" s="0"/>
      <c r="AAL143" s="0"/>
      <c r="AAM143" s="0"/>
      <c r="AAN143" s="0"/>
      <c r="AAO143" s="0"/>
      <c r="AAP143" s="0"/>
      <c r="AAQ143" s="0"/>
      <c r="AAR143" s="0"/>
      <c r="AAS143" s="0"/>
      <c r="AAT143" s="0"/>
      <c r="AAU143" s="0"/>
      <c r="AAV143" s="0"/>
      <c r="AAW143" s="0"/>
      <c r="AAX143" s="0"/>
      <c r="AAY143" s="0"/>
      <c r="AAZ143" s="0"/>
      <c r="ABA143" s="0"/>
      <c r="ABB143" s="0"/>
      <c r="ABC143" s="0"/>
      <c r="ABD143" s="0"/>
      <c r="ABE143" s="0"/>
      <c r="ABF143" s="0"/>
      <c r="ABG143" s="0"/>
      <c r="ABH143" s="0"/>
      <c r="ABI143" s="0"/>
      <c r="ABJ143" s="0"/>
      <c r="ABK143" s="0"/>
      <c r="ABL143" s="0"/>
      <c r="ABM143" s="0"/>
      <c r="ABN143" s="0"/>
      <c r="ABO143" s="0"/>
      <c r="ABP143" s="0"/>
      <c r="ABQ143" s="0"/>
      <c r="ABR143" s="0"/>
      <c r="ABS143" s="0"/>
      <c r="ABT143" s="0"/>
      <c r="ABU143" s="0"/>
      <c r="ABV143" s="0"/>
      <c r="ABW143" s="0"/>
      <c r="ABX143" s="0"/>
      <c r="ABY143" s="0"/>
      <c r="ABZ143" s="0"/>
      <c r="ACA143" s="0"/>
      <c r="ACB143" s="0"/>
      <c r="ACC143" s="0"/>
      <c r="ACD143" s="0"/>
      <c r="ACE143" s="0"/>
      <c r="ACF143" s="0"/>
      <c r="ACG143" s="0"/>
      <c r="ACH143" s="0"/>
      <c r="ACI143" s="0"/>
      <c r="ACJ143" s="0"/>
      <c r="ACK143" s="0"/>
      <c r="ACL143" s="0"/>
      <c r="ACM143" s="0"/>
      <c r="ACN143" s="0"/>
      <c r="ACO143" s="0"/>
      <c r="ACP143" s="0"/>
      <c r="ACQ143" s="0"/>
      <c r="ACR143" s="0"/>
      <c r="ACS143" s="0"/>
      <c r="ACT143" s="0"/>
      <c r="ACU143" s="0"/>
      <c r="ACV143" s="0"/>
      <c r="ACW143" s="0"/>
      <c r="ACX143" s="0"/>
      <c r="ACY143" s="0"/>
      <c r="ACZ143" s="0"/>
      <c r="ADA143" s="0"/>
      <c r="ADB143" s="0"/>
      <c r="ADC143" s="0"/>
      <c r="ADD143" s="0"/>
      <c r="ADE143" s="0"/>
      <c r="ADF143" s="0"/>
      <c r="ADG143" s="0"/>
      <c r="ADH143" s="0"/>
      <c r="ADI143" s="0"/>
      <c r="ADJ143" s="0"/>
      <c r="ADK143" s="0"/>
      <c r="ADL143" s="0"/>
      <c r="ADM143" s="0"/>
      <c r="ADN143" s="0"/>
      <c r="ADO143" s="0"/>
      <c r="ADP143" s="0"/>
      <c r="ADQ143" s="0"/>
      <c r="ADR143" s="0"/>
      <c r="ADS143" s="0"/>
      <c r="ADT143" s="0"/>
      <c r="ADU143" s="0"/>
      <c r="ADV143" s="0"/>
      <c r="ADW143" s="0"/>
      <c r="ADX143" s="0"/>
      <c r="ADY143" s="0"/>
      <c r="ADZ143" s="0"/>
      <c r="AEA143" s="0"/>
      <c r="AEB143" s="0"/>
      <c r="AEC143" s="0"/>
      <c r="AED143" s="0"/>
      <c r="AEE143" s="0"/>
      <c r="AEF143" s="0"/>
      <c r="AEG143" s="0"/>
      <c r="AEH143" s="0"/>
      <c r="AEI143" s="0"/>
      <c r="AEJ143" s="0"/>
      <c r="AEK143" s="0"/>
      <c r="AEL143" s="0"/>
      <c r="AEM143" s="0"/>
      <c r="AEN143" s="0"/>
      <c r="AEO143" s="0"/>
      <c r="AEP143" s="0"/>
      <c r="AEQ143" s="0"/>
      <c r="AER143" s="0"/>
      <c r="AES143" s="0"/>
      <c r="AET143" s="0"/>
      <c r="AEU143" s="0"/>
      <c r="AEV143" s="0"/>
      <c r="AEW143" s="0"/>
      <c r="AEX143" s="0"/>
      <c r="AEY143" s="0"/>
      <c r="AEZ143" s="0"/>
      <c r="AFA143" s="0"/>
      <c r="AFB143" s="0"/>
      <c r="AFC143" s="0"/>
      <c r="AFD143" s="0"/>
      <c r="AFE143" s="0"/>
      <c r="AFF143" s="0"/>
      <c r="AFG143" s="0"/>
      <c r="AFH143" s="0"/>
      <c r="AFI143" s="0"/>
      <c r="AFJ143" s="0"/>
      <c r="AFK143" s="0"/>
      <c r="AFL143" s="0"/>
      <c r="AFM143" s="0"/>
      <c r="AFN143" s="0"/>
      <c r="AFO143" s="0"/>
      <c r="AFP143" s="0"/>
      <c r="AFQ143" s="0"/>
      <c r="AFR143" s="0"/>
      <c r="AFS143" s="0"/>
      <c r="AFT143" s="0"/>
      <c r="AFU143" s="0"/>
      <c r="AFV143" s="0"/>
      <c r="AFW143" s="0"/>
      <c r="AFX143" s="0"/>
      <c r="AFY143" s="0"/>
      <c r="AFZ143" s="0"/>
      <c r="AGA143" s="0"/>
      <c r="AGB143" s="0"/>
      <c r="AGC143" s="0"/>
      <c r="AGD143" s="0"/>
      <c r="AGE143" s="0"/>
      <c r="AGF143" s="0"/>
      <c r="AGG143" s="0"/>
      <c r="AGH143" s="0"/>
      <c r="AGI143" s="0"/>
      <c r="AGJ143" s="0"/>
      <c r="AGK143" s="0"/>
      <c r="AGL143" s="0"/>
      <c r="AGM143" s="0"/>
      <c r="AGN143" s="0"/>
      <c r="AGO143" s="0"/>
      <c r="AGP143" s="0"/>
      <c r="AGQ143" s="0"/>
      <c r="AGR143" s="0"/>
      <c r="AGS143" s="0"/>
      <c r="AGT143" s="0"/>
      <c r="AGU143" s="0"/>
      <c r="AGV143" s="0"/>
      <c r="AGW143" s="0"/>
      <c r="AGX143" s="0"/>
      <c r="AGY143" s="0"/>
      <c r="AGZ143" s="0"/>
      <c r="AHA143" s="0"/>
      <c r="AHB143" s="0"/>
      <c r="AHC143" s="0"/>
      <c r="AHD143" s="0"/>
      <c r="AHE143" s="0"/>
      <c r="AHF143" s="0"/>
      <c r="AHG143" s="0"/>
      <c r="AHH143" s="0"/>
      <c r="AHI143" s="0"/>
      <c r="AHJ143" s="0"/>
      <c r="AHK143" s="0"/>
      <c r="AHL143" s="0"/>
      <c r="AHM143" s="0"/>
      <c r="AHN143" s="0"/>
      <c r="AHO143" s="0"/>
      <c r="AHP143" s="0"/>
      <c r="AHQ143" s="0"/>
      <c r="AHR143" s="0"/>
      <c r="AHS143" s="0"/>
      <c r="AHT143" s="0"/>
      <c r="AHU143" s="0"/>
      <c r="AHV143" s="0"/>
      <c r="AHW143" s="0"/>
      <c r="AHX143" s="0"/>
      <c r="AHY143" s="0"/>
      <c r="AHZ143" s="0"/>
      <c r="AIA143" s="0"/>
      <c r="AIB143" s="0"/>
      <c r="AIC143" s="0"/>
      <c r="AID143" s="0"/>
      <c r="AIE143" s="0"/>
      <c r="AIF143" s="0"/>
      <c r="AIG143" s="0"/>
      <c r="AIH143" s="0"/>
      <c r="AII143" s="0"/>
      <c r="AIJ143" s="0"/>
      <c r="AIK143" s="0"/>
      <c r="AIL143" s="0"/>
      <c r="AIM143" s="0"/>
      <c r="AIN143" s="0"/>
      <c r="AIO143" s="0"/>
      <c r="AIP143" s="0"/>
      <c r="AIQ143" s="0"/>
      <c r="AIR143" s="0"/>
      <c r="AIS143" s="0"/>
      <c r="AIT143" s="0"/>
      <c r="AIU143" s="0"/>
      <c r="AIV143" s="0"/>
      <c r="AIW143" s="0"/>
      <c r="AIX143" s="0"/>
      <c r="AIY143" s="0"/>
      <c r="AIZ143" s="0"/>
      <c r="AJA143" s="0"/>
      <c r="AJB143" s="0"/>
      <c r="AJC143" s="0"/>
      <c r="AJD143" s="0"/>
      <c r="AJE143" s="0"/>
      <c r="AJF143" s="0"/>
      <c r="AJG143" s="0"/>
      <c r="AJH143" s="0"/>
      <c r="AJI143" s="0"/>
      <c r="AJJ143" s="0"/>
      <c r="AJK143" s="0"/>
      <c r="AJL143" s="0"/>
      <c r="AJM143" s="0"/>
      <c r="AJN143" s="0"/>
      <c r="AJO143" s="0"/>
      <c r="AJP143" s="0"/>
      <c r="AJQ143" s="0"/>
      <c r="AJR143" s="0"/>
      <c r="AJS143" s="0"/>
      <c r="AJT143" s="0"/>
      <c r="AJU143" s="0"/>
      <c r="AJV143" s="0"/>
      <c r="AJW143" s="0"/>
      <c r="AJX143" s="0"/>
      <c r="AJY143" s="0"/>
      <c r="AJZ143" s="0"/>
      <c r="AKA143" s="0"/>
      <c r="AKB143" s="0"/>
      <c r="AKC143" s="0"/>
      <c r="AKD143" s="0"/>
      <c r="AKE143" s="0"/>
      <c r="AKF143" s="0"/>
      <c r="AKG143" s="0"/>
      <c r="AKH143" s="0"/>
      <c r="AKI143" s="0"/>
      <c r="AKJ143" s="0"/>
      <c r="AKK143" s="0"/>
      <c r="AKL143" s="0"/>
      <c r="AKM143" s="0"/>
      <c r="AKN143" s="0"/>
      <c r="AKO143" s="0"/>
      <c r="AKP143" s="0"/>
      <c r="AKQ143" s="0"/>
      <c r="AKR143" s="0"/>
      <c r="AKS143" s="0"/>
      <c r="AKT143" s="0"/>
      <c r="AKU143" s="0"/>
      <c r="AKV143" s="0"/>
      <c r="AKW143" s="0"/>
      <c r="AKX143" s="0"/>
      <c r="AKY143" s="0"/>
      <c r="AKZ143" s="0"/>
      <c r="ALA143" s="0"/>
      <c r="ALB143" s="0"/>
      <c r="ALC143" s="0"/>
      <c r="ALD143" s="0"/>
      <c r="ALE143" s="0"/>
      <c r="ALF143" s="0"/>
      <c r="ALG143" s="0"/>
      <c r="ALH143" s="0"/>
      <c r="ALI143" s="0"/>
      <c r="ALJ143" s="0"/>
      <c r="ALK143" s="0"/>
      <c r="ALL143" s="0"/>
      <c r="ALM143" s="0"/>
      <c r="ALN143" s="0"/>
      <c r="ALO143" s="0"/>
      <c r="ALP143" s="0"/>
      <c r="ALQ143" s="0"/>
      <c r="ALR143" s="0"/>
      <c r="ALS143" s="0"/>
      <c r="ALT143" s="0"/>
      <c r="ALU143" s="0"/>
      <c r="ALV143" s="0"/>
      <c r="ALW143" s="0"/>
      <c r="ALX143" s="0"/>
      <c r="ALY143" s="0"/>
      <c r="ALZ143" s="0"/>
      <c r="AMA143" s="0"/>
      <c r="AMB143" s="0"/>
      <c r="AMC143" s="0"/>
      <c r="AMD143" s="0"/>
      <c r="AME143" s="0"/>
      <c r="AMF143" s="0"/>
      <c r="AMG143" s="0"/>
      <c r="AMH143" s="0"/>
      <c r="AMI143" s="0"/>
      <c r="AMJ143" s="0"/>
    </row>
    <row r="144" customFormat="false" ht="14.4" hidden="false" customHeight="false" outlineLevel="0" collapsed="false">
      <c r="A144" s="80" t="n">
        <f aca="false">(B144/83)*100</f>
        <v>1.68674698795181</v>
      </c>
      <c r="B144" s="14" t="n">
        <v>1.4</v>
      </c>
      <c r="C144" s="14" t="s">
        <v>203</v>
      </c>
      <c r="D144" s="0"/>
      <c r="E144" s="15" t="s">
        <v>204</v>
      </c>
      <c r="F144" s="0"/>
      <c r="G144" s="0"/>
      <c r="H144" s="39" t="s">
        <v>191</v>
      </c>
      <c r="I144" s="19" t="n">
        <v>800</v>
      </c>
      <c r="J144" s="19" t="n">
        <v>0.21</v>
      </c>
      <c r="K144" s="0"/>
      <c r="M144" s="0"/>
      <c r="N144" s="0"/>
      <c r="O144" s="0"/>
      <c r="P144" s="19" t="n">
        <v>90</v>
      </c>
      <c r="Q144" s="0"/>
      <c r="R144" s="21" t="n">
        <f aca="false">A144*N144</f>
        <v>0</v>
      </c>
      <c r="S144" s="0"/>
      <c r="T144" s="22" t="e">
        <f aca="false">(G144-F144)/H144/E144</f>
        <v>#VALUE!</v>
      </c>
      <c r="U144" s="0"/>
      <c r="V144" s="0"/>
      <c r="W144" s="0"/>
      <c r="X144" s="0"/>
      <c r="Y144" s="0"/>
      <c r="Z144" s="40" t="s">
        <v>200</v>
      </c>
      <c r="AA144" s="19" t="s">
        <v>201</v>
      </c>
      <c r="AB144" s="41" t="n">
        <v>2014</v>
      </c>
      <c r="AC144" s="40" t="s">
        <v>202</v>
      </c>
      <c r="AD144" s="0"/>
      <c r="AE144" s="19" t="n">
        <v>500</v>
      </c>
      <c r="AF144" s="0"/>
      <c r="AG144" s="0"/>
      <c r="AH144" s="19" t="n">
        <v>3.2</v>
      </c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41" t="n">
        <v>0</v>
      </c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/>
      <c r="MZ144" s="0"/>
      <c r="NA144" s="0"/>
      <c r="NB144" s="0"/>
      <c r="NC144" s="0"/>
      <c r="ND144" s="0"/>
      <c r="NE144" s="0"/>
      <c r="NF144" s="0"/>
      <c r="NG144" s="0"/>
      <c r="NH144" s="0"/>
      <c r="NI144" s="0"/>
      <c r="NJ144" s="0"/>
      <c r="NK144" s="0"/>
      <c r="NL144" s="0"/>
      <c r="NM144" s="0"/>
      <c r="NN144" s="0"/>
      <c r="NO144" s="0"/>
      <c r="NP144" s="0"/>
      <c r="NQ144" s="0"/>
      <c r="NR144" s="0"/>
      <c r="NS144" s="0"/>
      <c r="NT144" s="0"/>
      <c r="NU144" s="0"/>
      <c r="NV144" s="0"/>
      <c r="NW144" s="0"/>
      <c r="NX144" s="0"/>
      <c r="NY144" s="0"/>
      <c r="NZ144" s="0"/>
      <c r="OA144" s="0"/>
      <c r="OB144" s="0"/>
      <c r="OC144" s="0"/>
      <c r="OD144" s="0"/>
      <c r="OE144" s="0"/>
      <c r="OF144" s="0"/>
      <c r="OG144" s="0"/>
      <c r="OH144" s="0"/>
      <c r="OI144" s="0"/>
      <c r="OJ144" s="0"/>
      <c r="OK144" s="0"/>
      <c r="OL144" s="0"/>
      <c r="OM144" s="0"/>
      <c r="ON144" s="0"/>
      <c r="OO144" s="0"/>
      <c r="OP144" s="0"/>
      <c r="OQ144" s="0"/>
      <c r="OR144" s="0"/>
      <c r="OS144" s="0"/>
      <c r="OT144" s="0"/>
      <c r="OU144" s="0"/>
      <c r="OV144" s="0"/>
      <c r="OW144" s="0"/>
      <c r="OX144" s="0"/>
      <c r="OY144" s="0"/>
      <c r="OZ144" s="0"/>
      <c r="PA144" s="0"/>
      <c r="PB144" s="0"/>
      <c r="PC144" s="0"/>
      <c r="PD144" s="0"/>
      <c r="PE144" s="0"/>
      <c r="PF144" s="0"/>
      <c r="PG144" s="0"/>
      <c r="PH144" s="0"/>
      <c r="PI144" s="0"/>
      <c r="PJ144" s="0"/>
      <c r="PK144" s="0"/>
      <c r="PL144" s="0"/>
      <c r="PM144" s="0"/>
      <c r="PN144" s="0"/>
      <c r="PO144" s="0"/>
      <c r="PP144" s="0"/>
      <c r="PQ144" s="0"/>
      <c r="PR144" s="0"/>
      <c r="PS144" s="0"/>
      <c r="PT144" s="0"/>
      <c r="PU144" s="0"/>
      <c r="PV144" s="0"/>
      <c r="PW144" s="0"/>
      <c r="PX144" s="0"/>
      <c r="PY144" s="0"/>
      <c r="PZ144" s="0"/>
      <c r="QA144" s="0"/>
      <c r="QB144" s="0"/>
      <c r="QC144" s="0"/>
      <c r="QD144" s="0"/>
      <c r="QE144" s="0"/>
      <c r="QF144" s="0"/>
      <c r="QG144" s="0"/>
      <c r="QH144" s="0"/>
      <c r="QI144" s="0"/>
      <c r="QJ144" s="0"/>
      <c r="QK144" s="0"/>
      <c r="QL144" s="0"/>
      <c r="QM144" s="0"/>
      <c r="QN144" s="0"/>
      <c r="QO144" s="0"/>
      <c r="QP144" s="0"/>
      <c r="QQ144" s="0"/>
      <c r="QR144" s="0"/>
      <c r="QS144" s="0"/>
      <c r="QT144" s="0"/>
      <c r="QU144" s="0"/>
      <c r="QV144" s="0"/>
      <c r="QW144" s="0"/>
      <c r="QX144" s="0"/>
      <c r="QY144" s="0"/>
      <c r="QZ144" s="0"/>
      <c r="RA144" s="0"/>
      <c r="RB144" s="0"/>
      <c r="RC144" s="0"/>
      <c r="RD144" s="0"/>
      <c r="RE144" s="0"/>
      <c r="RF144" s="0"/>
      <c r="RG144" s="0"/>
      <c r="RH144" s="0"/>
      <c r="RI144" s="0"/>
      <c r="RJ144" s="0"/>
      <c r="RK144" s="0"/>
      <c r="RL144" s="0"/>
      <c r="RM144" s="0"/>
      <c r="RN144" s="0"/>
      <c r="RO144" s="0"/>
      <c r="RP144" s="0"/>
      <c r="RQ144" s="0"/>
      <c r="RR144" s="0"/>
      <c r="RS144" s="0"/>
      <c r="RT144" s="0"/>
      <c r="RU144" s="0"/>
      <c r="RV144" s="0"/>
      <c r="RW144" s="0"/>
      <c r="RX144" s="0"/>
      <c r="RY144" s="0"/>
      <c r="RZ144" s="0"/>
      <c r="SA144" s="0"/>
      <c r="SB144" s="0"/>
      <c r="SC144" s="0"/>
      <c r="SD144" s="0"/>
      <c r="SE144" s="0"/>
      <c r="SF144" s="0"/>
      <c r="SG144" s="0"/>
      <c r="SH144" s="0"/>
      <c r="SI144" s="0"/>
      <c r="SJ144" s="0"/>
      <c r="SK144" s="0"/>
      <c r="SL144" s="0"/>
      <c r="SM144" s="0"/>
      <c r="SN144" s="0"/>
      <c r="SO144" s="0"/>
      <c r="SP144" s="0"/>
      <c r="SQ144" s="0"/>
      <c r="SR144" s="0"/>
      <c r="SS144" s="0"/>
      <c r="ST144" s="0"/>
      <c r="SU144" s="0"/>
      <c r="SV144" s="0"/>
      <c r="SW144" s="0"/>
      <c r="SX144" s="0"/>
      <c r="SY144" s="0"/>
      <c r="SZ144" s="0"/>
      <c r="TA144" s="0"/>
      <c r="TB144" s="0"/>
      <c r="TC144" s="0"/>
      <c r="TD144" s="0"/>
      <c r="TE144" s="0"/>
      <c r="TF144" s="0"/>
      <c r="TG144" s="0"/>
      <c r="TH144" s="0"/>
      <c r="TI144" s="0"/>
      <c r="TJ144" s="0"/>
      <c r="TK144" s="0"/>
      <c r="TL144" s="0"/>
      <c r="TM144" s="0"/>
      <c r="TN144" s="0"/>
      <c r="TO144" s="0"/>
      <c r="TP144" s="0"/>
      <c r="TQ144" s="0"/>
      <c r="TR144" s="0"/>
      <c r="TS144" s="0"/>
      <c r="TT144" s="0"/>
      <c r="TU144" s="0"/>
      <c r="TV144" s="0"/>
      <c r="TW144" s="0"/>
      <c r="TX144" s="0"/>
      <c r="TY144" s="0"/>
      <c r="TZ144" s="0"/>
      <c r="UA144" s="0"/>
      <c r="UB144" s="0"/>
      <c r="UC144" s="0"/>
      <c r="UD144" s="0"/>
      <c r="UE144" s="0"/>
      <c r="UF144" s="0"/>
      <c r="UG144" s="0"/>
      <c r="UH144" s="0"/>
      <c r="UI144" s="0"/>
      <c r="UJ144" s="0"/>
      <c r="UK144" s="0"/>
      <c r="UL144" s="0"/>
      <c r="UM144" s="0"/>
      <c r="UN144" s="0"/>
      <c r="UO144" s="0"/>
      <c r="UP144" s="0"/>
      <c r="UQ144" s="0"/>
      <c r="UR144" s="0"/>
      <c r="US144" s="0"/>
      <c r="UT144" s="0"/>
      <c r="UU144" s="0"/>
      <c r="UV144" s="0"/>
      <c r="UW144" s="0"/>
      <c r="UX144" s="0"/>
      <c r="UY144" s="0"/>
      <c r="UZ144" s="0"/>
      <c r="VA144" s="0"/>
      <c r="VB144" s="0"/>
      <c r="VC144" s="0"/>
      <c r="VD144" s="0"/>
      <c r="VE144" s="0"/>
      <c r="VF144" s="0"/>
      <c r="VG144" s="0"/>
      <c r="VH144" s="0"/>
      <c r="VI144" s="0"/>
      <c r="VJ144" s="0"/>
      <c r="VK144" s="0"/>
      <c r="VL144" s="0"/>
      <c r="VM144" s="0"/>
      <c r="VN144" s="0"/>
      <c r="VO144" s="0"/>
      <c r="VP144" s="0"/>
      <c r="VQ144" s="0"/>
      <c r="VR144" s="0"/>
      <c r="VS144" s="0"/>
      <c r="VT144" s="0"/>
      <c r="VU144" s="0"/>
      <c r="VV144" s="0"/>
      <c r="VW144" s="0"/>
      <c r="VX144" s="0"/>
      <c r="VY144" s="0"/>
      <c r="VZ144" s="0"/>
      <c r="WA144" s="0"/>
      <c r="WB144" s="0"/>
      <c r="WC144" s="0"/>
      <c r="WD144" s="0"/>
      <c r="WE144" s="0"/>
      <c r="WF144" s="0"/>
      <c r="WG144" s="0"/>
      <c r="WH144" s="0"/>
      <c r="WI144" s="0"/>
      <c r="WJ144" s="0"/>
      <c r="WK144" s="0"/>
      <c r="WL144" s="0"/>
      <c r="WM144" s="0"/>
      <c r="WN144" s="0"/>
      <c r="WO144" s="0"/>
      <c r="WP144" s="0"/>
      <c r="WQ144" s="0"/>
      <c r="WR144" s="0"/>
      <c r="WS144" s="0"/>
      <c r="WT144" s="0"/>
      <c r="WU144" s="0"/>
      <c r="WV144" s="0"/>
      <c r="WW144" s="0"/>
      <c r="WX144" s="0"/>
      <c r="WY144" s="0"/>
      <c r="WZ144" s="0"/>
      <c r="XA144" s="0"/>
      <c r="XB144" s="0"/>
      <c r="XC144" s="0"/>
      <c r="XD144" s="0"/>
      <c r="XE144" s="0"/>
      <c r="XF144" s="0"/>
      <c r="XG144" s="0"/>
      <c r="XH144" s="0"/>
      <c r="XI144" s="0"/>
      <c r="XJ144" s="0"/>
      <c r="XK144" s="0"/>
      <c r="XL144" s="0"/>
      <c r="XM144" s="0"/>
      <c r="XN144" s="0"/>
      <c r="XO144" s="0"/>
      <c r="XP144" s="0"/>
      <c r="XQ144" s="0"/>
      <c r="XR144" s="0"/>
      <c r="XS144" s="0"/>
      <c r="XT144" s="0"/>
      <c r="XU144" s="0"/>
      <c r="XV144" s="0"/>
      <c r="XW144" s="0"/>
      <c r="XX144" s="0"/>
      <c r="XY144" s="0"/>
      <c r="XZ144" s="0"/>
      <c r="YA144" s="0"/>
      <c r="YB144" s="0"/>
      <c r="YC144" s="0"/>
      <c r="YD144" s="0"/>
      <c r="YE144" s="0"/>
      <c r="YF144" s="0"/>
      <c r="YG144" s="0"/>
      <c r="YH144" s="0"/>
      <c r="YI144" s="0"/>
      <c r="YJ144" s="0"/>
      <c r="YK144" s="0"/>
      <c r="YL144" s="0"/>
      <c r="YM144" s="0"/>
      <c r="YN144" s="0"/>
      <c r="YO144" s="0"/>
      <c r="YP144" s="0"/>
      <c r="YQ144" s="0"/>
      <c r="YR144" s="0"/>
      <c r="YS144" s="0"/>
      <c r="YT144" s="0"/>
      <c r="YU144" s="0"/>
      <c r="YV144" s="0"/>
      <c r="YW144" s="0"/>
      <c r="YX144" s="0"/>
      <c r="YY144" s="0"/>
      <c r="YZ144" s="0"/>
      <c r="ZA144" s="0"/>
      <c r="ZB144" s="0"/>
      <c r="ZC144" s="0"/>
      <c r="ZD144" s="0"/>
      <c r="ZE144" s="0"/>
      <c r="ZF144" s="0"/>
      <c r="ZG144" s="0"/>
      <c r="ZH144" s="0"/>
      <c r="ZI144" s="0"/>
      <c r="ZJ144" s="0"/>
      <c r="ZK144" s="0"/>
      <c r="ZL144" s="0"/>
      <c r="ZM144" s="0"/>
      <c r="ZN144" s="0"/>
      <c r="ZO144" s="0"/>
      <c r="ZP144" s="0"/>
      <c r="ZQ144" s="0"/>
      <c r="ZR144" s="0"/>
      <c r="ZS144" s="0"/>
      <c r="ZT144" s="0"/>
      <c r="ZU144" s="0"/>
      <c r="ZV144" s="0"/>
      <c r="ZW144" s="0"/>
      <c r="ZX144" s="0"/>
      <c r="ZY144" s="0"/>
      <c r="ZZ144" s="0"/>
      <c r="AAA144" s="0"/>
      <c r="AAB144" s="0"/>
      <c r="AAC144" s="0"/>
      <c r="AAD144" s="0"/>
      <c r="AAE144" s="0"/>
      <c r="AAF144" s="0"/>
      <c r="AAG144" s="0"/>
      <c r="AAH144" s="0"/>
      <c r="AAI144" s="0"/>
      <c r="AAJ144" s="0"/>
      <c r="AAK144" s="0"/>
      <c r="AAL144" s="0"/>
      <c r="AAM144" s="0"/>
      <c r="AAN144" s="0"/>
      <c r="AAO144" s="0"/>
      <c r="AAP144" s="0"/>
      <c r="AAQ144" s="0"/>
      <c r="AAR144" s="0"/>
      <c r="AAS144" s="0"/>
      <c r="AAT144" s="0"/>
      <c r="AAU144" s="0"/>
      <c r="AAV144" s="0"/>
      <c r="AAW144" s="0"/>
      <c r="AAX144" s="0"/>
      <c r="AAY144" s="0"/>
      <c r="AAZ144" s="0"/>
      <c r="ABA144" s="0"/>
      <c r="ABB144" s="0"/>
      <c r="ABC144" s="0"/>
      <c r="ABD144" s="0"/>
      <c r="ABE144" s="0"/>
      <c r="ABF144" s="0"/>
      <c r="ABG144" s="0"/>
      <c r="ABH144" s="0"/>
      <c r="ABI144" s="0"/>
      <c r="ABJ144" s="0"/>
      <c r="ABK144" s="0"/>
      <c r="ABL144" s="0"/>
      <c r="ABM144" s="0"/>
      <c r="ABN144" s="0"/>
      <c r="ABO144" s="0"/>
      <c r="ABP144" s="0"/>
      <c r="ABQ144" s="0"/>
      <c r="ABR144" s="0"/>
      <c r="ABS144" s="0"/>
      <c r="ABT144" s="0"/>
      <c r="ABU144" s="0"/>
      <c r="ABV144" s="0"/>
      <c r="ABW144" s="0"/>
      <c r="ABX144" s="0"/>
      <c r="ABY144" s="0"/>
      <c r="ABZ144" s="0"/>
      <c r="ACA144" s="0"/>
      <c r="ACB144" s="0"/>
      <c r="ACC144" s="0"/>
      <c r="ACD144" s="0"/>
      <c r="ACE144" s="0"/>
      <c r="ACF144" s="0"/>
      <c r="ACG144" s="0"/>
      <c r="ACH144" s="0"/>
      <c r="ACI144" s="0"/>
      <c r="ACJ144" s="0"/>
      <c r="ACK144" s="0"/>
      <c r="ACL144" s="0"/>
      <c r="ACM144" s="0"/>
      <c r="ACN144" s="0"/>
      <c r="ACO144" s="0"/>
      <c r="ACP144" s="0"/>
      <c r="ACQ144" s="0"/>
      <c r="ACR144" s="0"/>
      <c r="ACS144" s="0"/>
      <c r="ACT144" s="0"/>
      <c r="ACU144" s="0"/>
      <c r="ACV144" s="0"/>
      <c r="ACW144" s="0"/>
      <c r="ACX144" s="0"/>
      <c r="ACY144" s="0"/>
      <c r="ACZ144" s="0"/>
      <c r="ADA144" s="0"/>
      <c r="ADB144" s="0"/>
      <c r="ADC144" s="0"/>
      <c r="ADD144" s="0"/>
      <c r="ADE144" s="0"/>
      <c r="ADF144" s="0"/>
      <c r="ADG144" s="0"/>
      <c r="ADH144" s="0"/>
      <c r="ADI144" s="0"/>
      <c r="ADJ144" s="0"/>
      <c r="ADK144" s="0"/>
      <c r="ADL144" s="0"/>
      <c r="ADM144" s="0"/>
      <c r="ADN144" s="0"/>
      <c r="ADO144" s="0"/>
      <c r="ADP144" s="0"/>
      <c r="ADQ144" s="0"/>
      <c r="ADR144" s="0"/>
      <c r="ADS144" s="0"/>
      <c r="ADT144" s="0"/>
      <c r="ADU144" s="0"/>
      <c r="ADV144" s="0"/>
      <c r="ADW144" s="0"/>
      <c r="ADX144" s="0"/>
      <c r="ADY144" s="0"/>
      <c r="ADZ144" s="0"/>
      <c r="AEA144" s="0"/>
      <c r="AEB144" s="0"/>
      <c r="AEC144" s="0"/>
      <c r="AED144" s="0"/>
      <c r="AEE144" s="0"/>
      <c r="AEF144" s="0"/>
      <c r="AEG144" s="0"/>
      <c r="AEH144" s="0"/>
      <c r="AEI144" s="0"/>
      <c r="AEJ144" s="0"/>
      <c r="AEK144" s="0"/>
      <c r="AEL144" s="0"/>
      <c r="AEM144" s="0"/>
      <c r="AEN144" s="0"/>
      <c r="AEO144" s="0"/>
      <c r="AEP144" s="0"/>
      <c r="AEQ144" s="0"/>
      <c r="AER144" s="0"/>
      <c r="AES144" s="0"/>
      <c r="AET144" s="0"/>
      <c r="AEU144" s="0"/>
      <c r="AEV144" s="0"/>
      <c r="AEW144" s="0"/>
      <c r="AEX144" s="0"/>
      <c r="AEY144" s="0"/>
      <c r="AEZ144" s="0"/>
      <c r="AFA144" s="0"/>
      <c r="AFB144" s="0"/>
      <c r="AFC144" s="0"/>
      <c r="AFD144" s="0"/>
      <c r="AFE144" s="0"/>
      <c r="AFF144" s="0"/>
      <c r="AFG144" s="0"/>
      <c r="AFH144" s="0"/>
      <c r="AFI144" s="0"/>
      <c r="AFJ144" s="0"/>
      <c r="AFK144" s="0"/>
      <c r="AFL144" s="0"/>
      <c r="AFM144" s="0"/>
      <c r="AFN144" s="0"/>
      <c r="AFO144" s="0"/>
      <c r="AFP144" s="0"/>
      <c r="AFQ144" s="0"/>
      <c r="AFR144" s="0"/>
      <c r="AFS144" s="0"/>
      <c r="AFT144" s="0"/>
      <c r="AFU144" s="0"/>
      <c r="AFV144" s="0"/>
      <c r="AFW144" s="0"/>
      <c r="AFX144" s="0"/>
      <c r="AFY144" s="0"/>
      <c r="AFZ144" s="0"/>
      <c r="AGA144" s="0"/>
      <c r="AGB144" s="0"/>
      <c r="AGC144" s="0"/>
      <c r="AGD144" s="0"/>
      <c r="AGE144" s="0"/>
      <c r="AGF144" s="0"/>
      <c r="AGG144" s="0"/>
      <c r="AGH144" s="0"/>
      <c r="AGI144" s="0"/>
      <c r="AGJ144" s="0"/>
      <c r="AGK144" s="0"/>
      <c r="AGL144" s="0"/>
      <c r="AGM144" s="0"/>
      <c r="AGN144" s="0"/>
      <c r="AGO144" s="0"/>
      <c r="AGP144" s="0"/>
      <c r="AGQ144" s="0"/>
      <c r="AGR144" s="0"/>
      <c r="AGS144" s="0"/>
      <c r="AGT144" s="0"/>
      <c r="AGU144" s="0"/>
      <c r="AGV144" s="0"/>
      <c r="AGW144" s="0"/>
      <c r="AGX144" s="0"/>
      <c r="AGY144" s="0"/>
      <c r="AGZ144" s="0"/>
      <c r="AHA144" s="0"/>
      <c r="AHB144" s="0"/>
      <c r="AHC144" s="0"/>
      <c r="AHD144" s="0"/>
      <c r="AHE144" s="0"/>
      <c r="AHF144" s="0"/>
      <c r="AHG144" s="0"/>
      <c r="AHH144" s="0"/>
      <c r="AHI144" s="0"/>
      <c r="AHJ144" s="0"/>
      <c r="AHK144" s="0"/>
      <c r="AHL144" s="0"/>
      <c r="AHM144" s="0"/>
      <c r="AHN144" s="0"/>
      <c r="AHO144" s="0"/>
      <c r="AHP144" s="0"/>
      <c r="AHQ144" s="0"/>
      <c r="AHR144" s="0"/>
      <c r="AHS144" s="0"/>
      <c r="AHT144" s="0"/>
      <c r="AHU144" s="0"/>
      <c r="AHV144" s="0"/>
      <c r="AHW144" s="0"/>
      <c r="AHX144" s="0"/>
      <c r="AHY144" s="0"/>
      <c r="AHZ144" s="0"/>
      <c r="AIA144" s="0"/>
      <c r="AIB144" s="0"/>
      <c r="AIC144" s="0"/>
      <c r="AID144" s="0"/>
      <c r="AIE144" s="0"/>
      <c r="AIF144" s="0"/>
      <c r="AIG144" s="0"/>
      <c r="AIH144" s="0"/>
      <c r="AII144" s="0"/>
      <c r="AIJ144" s="0"/>
      <c r="AIK144" s="0"/>
      <c r="AIL144" s="0"/>
      <c r="AIM144" s="0"/>
      <c r="AIN144" s="0"/>
      <c r="AIO144" s="0"/>
      <c r="AIP144" s="0"/>
      <c r="AIQ144" s="0"/>
      <c r="AIR144" s="0"/>
      <c r="AIS144" s="0"/>
      <c r="AIT144" s="0"/>
      <c r="AIU144" s="0"/>
      <c r="AIV144" s="0"/>
      <c r="AIW144" s="0"/>
      <c r="AIX144" s="0"/>
      <c r="AIY144" s="0"/>
      <c r="AIZ144" s="0"/>
      <c r="AJA144" s="0"/>
      <c r="AJB144" s="0"/>
      <c r="AJC144" s="0"/>
      <c r="AJD144" s="0"/>
      <c r="AJE144" s="0"/>
      <c r="AJF144" s="0"/>
      <c r="AJG144" s="0"/>
      <c r="AJH144" s="0"/>
      <c r="AJI144" s="0"/>
      <c r="AJJ144" s="0"/>
      <c r="AJK144" s="0"/>
      <c r="AJL144" s="0"/>
      <c r="AJM144" s="0"/>
      <c r="AJN144" s="0"/>
      <c r="AJO144" s="0"/>
      <c r="AJP144" s="0"/>
      <c r="AJQ144" s="0"/>
      <c r="AJR144" s="0"/>
      <c r="AJS144" s="0"/>
      <c r="AJT144" s="0"/>
      <c r="AJU144" s="0"/>
      <c r="AJV144" s="0"/>
      <c r="AJW144" s="0"/>
      <c r="AJX144" s="0"/>
      <c r="AJY144" s="0"/>
      <c r="AJZ144" s="0"/>
      <c r="AKA144" s="0"/>
      <c r="AKB144" s="0"/>
      <c r="AKC144" s="0"/>
      <c r="AKD144" s="0"/>
      <c r="AKE144" s="0"/>
      <c r="AKF144" s="0"/>
      <c r="AKG144" s="0"/>
      <c r="AKH144" s="0"/>
      <c r="AKI144" s="0"/>
      <c r="AKJ144" s="0"/>
      <c r="AKK144" s="0"/>
      <c r="AKL144" s="0"/>
      <c r="AKM144" s="0"/>
      <c r="AKN144" s="0"/>
      <c r="AKO144" s="0"/>
      <c r="AKP144" s="0"/>
      <c r="AKQ144" s="0"/>
      <c r="AKR144" s="0"/>
      <c r="AKS144" s="0"/>
      <c r="AKT144" s="0"/>
      <c r="AKU144" s="0"/>
      <c r="AKV144" s="0"/>
      <c r="AKW144" s="0"/>
      <c r="AKX144" s="0"/>
      <c r="AKY144" s="0"/>
      <c r="AKZ144" s="0"/>
      <c r="ALA144" s="0"/>
      <c r="ALB144" s="0"/>
      <c r="ALC144" s="0"/>
      <c r="ALD144" s="0"/>
      <c r="ALE144" s="0"/>
      <c r="ALF144" s="0"/>
      <c r="ALG144" s="0"/>
      <c r="ALH144" s="0"/>
      <c r="ALI144" s="0"/>
      <c r="ALJ144" s="0"/>
      <c r="ALK144" s="0"/>
      <c r="ALL144" s="0"/>
      <c r="ALM144" s="0"/>
      <c r="ALN144" s="0"/>
      <c r="ALO144" s="0"/>
      <c r="ALP144" s="0"/>
      <c r="ALQ144" s="0"/>
      <c r="ALR144" s="0"/>
      <c r="ALS144" s="0"/>
      <c r="ALT144" s="0"/>
      <c r="ALU144" s="0"/>
      <c r="ALV144" s="0"/>
      <c r="ALW144" s="0"/>
      <c r="ALX144" s="0"/>
      <c r="ALY144" s="0"/>
      <c r="ALZ144" s="0"/>
      <c r="AMA144" s="0"/>
      <c r="AMB144" s="0"/>
      <c r="AMC144" s="0"/>
      <c r="AMD144" s="0"/>
      <c r="AME144" s="0"/>
      <c r="AMF144" s="0"/>
      <c r="AMG144" s="0"/>
      <c r="AMH144" s="0"/>
      <c r="AMI144" s="0"/>
      <c r="AMJ144" s="0"/>
    </row>
    <row r="145" customFormat="false" ht="14.4" hidden="false" customHeight="false" outlineLevel="0" collapsed="false">
      <c r="A145" s="80" t="n">
        <f aca="false">(B145/83)*100</f>
        <v>14.4578313253012</v>
      </c>
      <c r="B145" s="14" t="n">
        <v>12</v>
      </c>
      <c r="C145" s="14" t="s">
        <v>186</v>
      </c>
      <c r="D145" s="0"/>
      <c r="E145" s="15" t="n">
        <v>155</v>
      </c>
      <c r="F145" s="0"/>
      <c r="G145" s="0"/>
      <c r="H145" s="39" t="s">
        <v>191</v>
      </c>
      <c r="I145" s="19" t="n">
        <v>800</v>
      </c>
      <c r="J145" s="19" t="n">
        <v>0.033</v>
      </c>
      <c r="K145" s="19" t="n">
        <v>0.001</v>
      </c>
      <c r="M145" s="0"/>
      <c r="N145" s="0"/>
      <c r="O145" s="19" t="n">
        <v>0.0006</v>
      </c>
      <c r="P145" s="0"/>
      <c r="Q145" s="0"/>
      <c r="R145" s="21" t="n">
        <f aca="false">A145*N145</f>
        <v>0</v>
      </c>
      <c r="S145" s="0"/>
      <c r="T145" s="22" t="e">
        <f aca="false">(G145-F145)/H145/E145</f>
        <v>#VALUE!</v>
      </c>
      <c r="U145" s="0"/>
      <c r="V145" s="0"/>
      <c r="W145" s="0"/>
      <c r="X145" s="0"/>
      <c r="Y145" s="0"/>
      <c r="Z145" s="40" t="s">
        <v>205</v>
      </c>
      <c r="AA145" s="19" t="s">
        <v>206</v>
      </c>
      <c r="AB145" s="41" t="n">
        <v>2007</v>
      </c>
      <c r="AC145" s="40" t="s">
        <v>184</v>
      </c>
      <c r="AD145" s="0"/>
      <c r="AE145" s="19" t="n">
        <v>250</v>
      </c>
      <c r="AF145" s="0"/>
      <c r="AG145" s="0"/>
      <c r="AH145" s="19" t="n">
        <v>3.1</v>
      </c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41" t="n">
        <v>0</v>
      </c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  <c r="OJ145" s="0"/>
      <c r="OK145" s="0"/>
      <c r="OL145" s="0"/>
      <c r="OM145" s="0"/>
      <c r="ON145" s="0"/>
      <c r="OO145" s="0"/>
      <c r="OP145" s="0"/>
      <c r="OQ145" s="0"/>
      <c r="OR145" s="0"/>
      <c r="OS145" s="0"/>
      <c r="OT145" s="0"/>
      <c r="OU145" s="0"/>
      <c r="OV145" s="0"/>
      <c r="OW145" s="0"/>
      <c r="OX145" s="0"/>
      <c r="OY145" s="0"/>
      <c r="OZ145" s="0"/>
      <c r="PA145" s="0"/>
      <c r="PB145" s="0"/>
      <c r="PC145" s="0"/>
      <c r="PD145" s="0"/>
      <c r="PE145" s="0"/>
      <c r="PF145" s="0"/>
      <c r="PG145" s="0"/>
      <c r="PH145" s="0"/>
      <c r="PI145" s="0"/>
      <c r="PJ145" s="0"/>
      <c r="PK145" s="0"/>
      <c r="PL145" s="0"/>
      <c r="PM145" s="0"/>
      <c r="PN145" s="0"/>
      <c r="PO145" s="0"/>
      <c r="PP145" s="0"/>
      <c r="PQ145" s="0"/>
      <c r="PR145" s="0"/>
      <c r="PS145" s="0"/>
      <c r="PT145" s="0"/>
      <c r="PU145" s="0"/>
      <c r="PV145" s="0"/>
      <c r="PW145" s="0"/>
      <c r="PX145" s="0"/>
      <c r="PY145" s="0"/>
      <c r="PZ145" s="0"/>
      <c r="QA145" s="0"/>
      <c r="QB145" s="0"/>
      <c r="QC145" s="0"/>
      <c r="QD145" s="0"/>
      <c r="QE145" s="0"/>
      <c r="QF145" s="0"/>
      <c r="QG145" s="0"/>
      <c r="QH145" s="0"/>
      <c r="QI145" s="0"/>
      <c r="QJ145" s="0"/>
      <c r="QK145" s="0"/>
      <c r="QL145" s="0"/>
      <c r="QM145" s="0"/>
      <c r="QN145" s="0"/>
      <c r="QO145" s="0"/>
      <c r="QP145" s="0"/>
      <c r="QQ145" s="0"/>
      <c r="QR145" s="0"/>
      <c r="QS145" s="0"/>
      <c r="QT145" s="0"/>
      <c r="QU145" s="0"/>
      <c r="QV145" s="0"/>
      <c r="QW145" s="0"/>
      <c r="QX145" s="0"/>
      <c r="QY145" s="0"/>
      <c r="QZ145" s="0"/>
      <c r="RA145" s="0"/>
      <c r="RB145" s="0"/>
      <c r="RC145" s="0"/>
      <c r="RD145" s="0"/>
      <c r="RE145" s="0"/>
      <c r="RF145" s="0"/>
      <c r="RG145" s="0"/>
      <c r="RH145" s="0"/>
      <c r="RI145" s="0"/>
      <c r="RJ145" s="0"/>
      <c r="RK145" s="0"/>
      <c r="RL145" s="0"/>
      <c r="RM145" s="0"/>
      <c r="RN145" s="0"/>
      <c r="RO145" s="0"/>
      <c r="RP145" s="0"/>
      <c r="RQ145" s="0"/>
      <c r="RR145" s="0"/>
      <c r="RS145" s="0"/>
      <c r="RT145" s="0"/>
      <c r="RU145" s="0"/>
      <c r="RV145" s="0"/>
      <c r="RW145" s="0"/>
      <c r="RX145" s="0"/>
      <c r="RY145" s="0"/>
      <c r="RZ145" s="0"/>
      <c r="SA145" s="0"/>
      <c r="SB145" s="0"/>
      <c r="SC145" s="0"/>
      <c r="SD145" s="0"/>
      <c r="SE145" s="0"/>
      <c r="SF145" s="0"/>
      <c r="SG145" s="0"/>
      <c r="SH145" s="0"/>
      <c r="SI145" s="0"/>
      <c r="SJ145" s="0"/>
      <c r="SK145" s="0"/>
      <c r="SL145" s="0"/>
      <c r="SM145" s="0"/>
      <c r="SN145" s="0"/>
      <c r="SO145" s="0"/>
      <c r="SP145" s="0"/>
      <c r="SQ145" s="0"/>
      <c r="SR145" s="0"/>
      <c r="SS145" s="0"/>
      <c r="ST145" s="0"/>
      <c r="SU145" s="0"/>
      <c r="SV145" s="0"/>
      <c r="SW145" s="0"/>
      <c r="SX145" s="0"/>
      <c r="SY145" s="0"/>
      <c r="SZ145" s="0"/>
      <c r="TA145" s="0"/>
      <c r="TB145" s="0"/>
      <c r="TC145" s="0"/>
      <c r="TD145" s="0"/>
      <c r="TE145" s="0"/>
      <c r="TF145" s="0"/>
      <c r="TG145" s="0"/>
      <c r="TH145" s="0"/>
      <c r="TI145" s="0"/>
      <c r="TJ145" s="0"/>
      <c r="TK145" s="0"/>
      <c r="TL145" s="0"/>
      <c r="TM145" s="0"/>
      <c r="TN145" s="0"/>
      <c r="TO145" s="0"/>
      <c r="TP145" s="0"/>
      <c r="TQ145" s="0"/>
      <c r="TR145" s="0"/>
      <c r="TS145" s="0"/>
      <c r="TT145" s="0"/>
      <c r="TU145" s="0"/>
      <c r="TV145" s="0"/>
      <c r="TW145" s="0"/>
      <c r="TX145" s="0"/>
      <c r="TY145" s="0"/>
      <c r="TZ145" s="0"/>
      <c r="UA145" s="0"/>
      <c r="UB145" s="0"/>
      <c r="UC145" s="0"/>
      <c r="UD145" s="0"/>
      <c r="UE145" s="0"/>
      <c r="UF145" s="0"/>
      <c r="UG145" s="0"/>
      <c r="UH145" s="0"/>
      <c r="UI145" s="0"/>
      <c r="UJ145" s="0"/>
      <c r="UK145" s="0"/>
      <c r="UL145" s="0"/>
      <c r="UM145" s="0"/>
      <c r="UN145" s="0"/>
      <c r="UO145" s="0"/>
      <c r="UP145" s="0"/>
      <c r="UQ145" s="0"/>
      <c r="UR145" s="0"/>
      <c r="US145" s="0"/>
      <c r="UT145" s="0"/>
      <c r="UU145" s="0"/>
      <c r="UV145" s="0"/>
      <c r="UW145" s="0"/>
      <c r="UX145" s="0"/>
      <c r="UY145" s="0"/>
      <c r="UZ145" s="0"/>
      <c r="VA145" s="0"/>
      <c r="VB145" s="0"/>
      <c r="VC145" s="0"/>
      <c r="VD145" s="0"/>
      <c r="VE145" s="0"/>
      <c r="VF145" s="0"/>
      <c r="VG145" s="0"/>
      <c r="VH145" s="0"/>
      <c r="VI145" s="0"/>
      <c r="VJ145" s="0"/>
      <c r="VK145" s="0"/>
      <c r="VL145" s="0"/>
      <c r="VM145" s="0"/>
      <c r="VN145" s="0"/>
      <c r="VO145" s="0"/>
      <c r="VP145" s="0"/>
      <c r="VQ145" s="0"/>
      <c r="VR145" s="0"/>
      <c r="VS145" s="0"/>
      <c r="VT145" s="0"/>
      <c r="VU145" s="0"/>
      <c r="VV145" s="0"/>
      <c r="VW145" s="0"/>
      <c r="VX145" s="0"/>
      <c r="VY145" s="0"/>
      <c r="VZ145" s="0"/>
      <c r="WA145" s="0"/>
      <c r="WB145" s="0"/>
      <c r="WC145" s="0"/>
      <c r="WD145" s="0"/>
      <c r="WE145" s="0"/>
      <c r="WF145" s="0"/>
      <c r="WG145" s="0"/>
      <c r="WH145" s="0"/>
      <c r="WI145" s="0"/>
      <c r="WJ145" s="0"/>
      <c r="WK145" s="0"/>
      <c r="WL145" s="0"/>
      <c r="WM145" s="0"/>
      <c r="WN145" s="0"/>
      <c r="WO145" s="0"/>
      <c r="WP145" s="0"/>
      <c r="WQ145" s="0"/>
      <c r="WR145" s="0"/>
      <c r="WS145" s="0"/>
      <c r="WT145" s="0"/>
      <c r="WU145" s="0"/>
      <c r="WV145" s="0"/>
      <c r="WW145" s="0"/>
      <c r="WX145" s="0"/>
      <c r="WY145" s="0"/>
      <c r="WZ145" s="0"/>
      <c r="XA145" s="0"/>
      <c r="XB145" s="0"/>
      <c r="XC145" s="0"/>
      <c r="XD145" s="0"/>
      <c r="XE145" s="0"/>
      <c r="XF145" s="0"/>
      <c r="XG145" s="0"/>
      <c r="XH145" s="0"/>
      <c r="XI145" s="0"/>
      <c r="XJ145" s="0"/>
      <c r="XK145" s="0"/>
      <c r="XL145" s="0"/>
      <c r="XM145" s="0"/>
      <c r="XN145" s="0"/>
      <c r="XO145" s="0"/>
      <c r="XP145" s="0"/>
      <c r="XQ145" s="0"/>
      <c r="XR145" s="0"/>
      <c r="XS145" s="0"/>
      <c r="XT145" s="0"/>
      <c r="XU145" s="0"/>
      <c r="XV145" s="0"/>
      <c r="XW145" s="0"/>
      <c r="XX145" s="0"/>
      <c r="XY145" s="0"/>
      <c r="XZ145" s="0"/>
      <c r="YA145" s="0"/>
      <c r="YB145" s="0"/>
      <c r="YC145" s="0"/>
      <c r="YD145" s="0"/>
      <c r="YE145" s="0"/>
      <c r="YF145" s="0"/>
      <c r="YG145" s="0"/>
      <c r="YH145" s="0"/>
      <c r="YI145" s="0"/>
      <c r="YJ145" s="0"/>
      <c r="YK145" s="0"/>
      <c r="YL145" s="0"/>
      <c r="YM145" s="0"/>
      <c r="YN145" s="0"/>
      <c r="YO145" s="0"/>
      <c r="YP145" s="0"/>
      <c r="YQ145" s="0"/>
      <c r="YR145" s="0"/>
      <c r="YS145" s="0"/>
      <c r="YT145" s="0"/>
      <c r="YU145" s="0"/>
      <c r="YV145" s="0"/>
      <c r="YW145" s="0"/>
      <c r="YX145" s="0"/>
      <c r="YY145" s="0"/>
      <c r="YZ145" s="0"/>
      <c r="ZA145" s="0"/>
      <c r="ZB145" s="0"/>
      <c r="ZC145" s="0"/>
      <c r="ZD145" s="0"/>
      <c r="ZE145" s="0"/>
      <c r="ZF145" s="0"/>
      <c r="ZG145" s="0"/>
      <c r="ZH145" s="0"/>
      <c r="ZI145" s="0"/>
      <c r="ZJ145" s="0"/>
      <c r="ZK145" s="0"/>
      <c r="ZL145" s="0"/>
      <c r="ZM145" s="0"/>
      <c r="ZN145" s="0"/>
      <c r="ZO145" s="0"/>
      <c r="ZP145" s="0"/>
      <c r="ZQ145" s="0"/>
      <c r="ZR145" s="0"/>
      <c r="ZS145" s="0"/>
      <c r="ZT145" s="0"/>
      <c r="ZU145" s="0"/>
      <c r="ZV145" s="0"/>
      <c r="ZW145" s="0"/>
      <c r="ZX145" s="0"/>
      <c r="ZY145" s="0"/>
      <c r="ZZ145" s="0"/>
      <c r="AAA145" s="0"/>
      <c r="AAB145" s="0"/>
      <c r="AAC145" s="0"/>
      <c r="AAD145" s="0"/>
      <c r="AAE145" s="0"/>
      <c r="AAF145" s="0"/>
      <c r="AAG145" s="0"/>
      <c r="AAH145" s="0"/>
      <c r="AAI145" s="0"/>
      <c r="AAJ145" s="0"/>
      <c r="AAK145" s="0"/>
      <c r="AAL145" s="0"/>
      <c r="AAM145" s="0"/>
      <c r="AAN145" s="0"/>
      <c r="AAO145" s="0"/>
      <c r="AAP145" s="0"/>
      <c r="AAQ145" s="0"/>
      <c r="AAR145" s="0"/>
      <c r="AAS145" s="0"/>
      <c r="AAT145" s="0"/>
      <c r="AAU145" s="0"/>
      <c r="AAV145" s="0"/>
      <c r="AAW145" s="0"/>
      <c r="AAX145" s="0"/>
      <c r="AAY145" s="0"/>
      <c r="AAZ145" s="0"/>
      <c r="ABA145" s="0"/>
      <c r="ABB145" s="0"/>
      <c r="ABC145" s="0"/>
      <c r="ABD145" s="0"/>
      <c r="ABE145" s="0"/>
      <c r="ABF145" s="0"/>
      <c r="ABG145" s="0"/>
      <c r="ABH145" s="0"/>
      <c r="ABI145" s="0"/>
      <c r="ABJ145" s="0"/>
      <c r="ABK145" s="0"/>
      <c r="ABL145" s="0"/>
      <c r="ABM145" s="0"/>
      <c r="ABN145" s="0"/>
      <c r="ABO145" s="0"/>
      <c r="ABP145" s="0"/>
      <c r="ABQ145" s="0"/>
      <c r="ABR145" s="0"/>
      <c r="ABS145" s="0"/>
      <c r="ABT145" s="0"/>
      <c r="ABU145" s="0"/>
      <c r="ABV145" s="0"/>
      <c r="ABW145" s="0"/>
      <c r="ABX145" s="0"/>
      <c r="ABY145" s="0"/>
      <c r="ABZ145" s="0"/>
      <c r="ACA145" s="0"/>
      <c r="ACB145" s="0"/>
      <c r="ACC145" s="0"/>
      <c r="ACD145" s="0"/>
      <c r="ACE145" s="0"/>
      <c r="ACF145" s="0"/>
      <c r="ACG145" s="0"/>
      <c r="ACH145" s="0"/>
      <c r="ACI145" s="0"/>
      <c r="ACJ145" s="0"/>
      <c r="ACK145" s="0"/>
      <c r="ACL145" s="0"/>
      <c r="ACM145" s="0"/>
      <c r="ACN145" s="0"/>
      <c r="ACO145" s="0"/>
      <c r="ACP145" s="0"/>
      <c r="ACQ145" s="0"/>
      <c r="ACR145" s="0"/>
      <c r="ACS145" s="0"/>
      <c r="ACT145" s="0"/>
      <c r="ACU145" s="0"/>
      <c r="ACV145" s="0"/>
      <c r="ACW145" s="0"/>
      <c r="ACX145" s="0"/>
      <c r="ACY145" s="0"/>
      <c r="ACZ145" s="0"/>
      <c r="ADA145" s="0"/>
      <c r="ADB145" s="0"/>
      <c r="ADC145" s="0"/>
      <c r="ADD145" s="0"/>
      <c r="ADE145" s="0"/>
      <c r="ADF145" s="0"/>
      <c r="ADG145" s="0"/>
      <c r="ADH145" s="0"/>
      <c r="ADI145" s="0"/>
      <c r="ADJ145" s="0"/>
      <c r="ADK145" s="0"/>
      <c r="ADL145" s="0"/>
      <c r="ADM145" s="0"/>
      <c r="ADN145" s="0"/>
      <c r="ADO145" s="0"/>
      <c r="ADP145" s="0"/>
      <c r="ADQ145" s="0"/>
      <c r="ADR145" s="0"/>
      <c r="ADS145" s="0"/>
      <c r="ADT145" s="0"/>
      <c r="ADU145" s="0"/>
      <c r="ADV145" s="0"/>
      <c r="ADW145" s="0"/>
      <c r="ADX145" s="0"/>
      <c r="ADY145" s="0"/>
      <c r="ADZ145" s="0"/>
      <c r="AEA145" s="0"/>
      <c r="AEB145" s="0"/>
      <c r="AEC145" s="0"/>
      <c r="AED145" s="0"/>
      <c r="AEE145" s="0"/>
      <c r="AEF145" s="0"/>
      <c r="AEG145" s="0"/>
      <c r="AEH145" s="0"/>
      <c r="AEI145" s="0"/>
      <c r="AEJ145" s="0"/>
      <c r="AEK145" s="0"/>
      <c r="AEL145" s="0"/>
      <c r="AEM145" s="0"/>
      <c r="AEN145" s="0"/>
      <c r="AEO145" s="0"/>
      <c r="AEP145" s="0"/>
      <c r="AEQ145" s="0"/>
      <c r="AER145" s="0"/>
      <c r="AES145" s="0"/>
      <c r="AET145" s="0"/>
      <c r="AEU145" s="0"/>
      <c r="AEV145" s="0"/>
      <c r="AEW145" s="0"/>
      <c r="AEX145" s="0"/>
      <c r="AEY145" s="0"/>
      <c r="AEZ145" s="0"/>
      <c r="AFA145" s="0"/>
      <c r="AFB145" s="0"/>
      <c r="AFC145" s="0"/>
      <c r="AFD145" s="0"/>
      <c r="AFE145" s="0"/>
      <c r="AFF145" s="0"/>
      <c r="AFG145" s="0"/>
      <c r="AFH145" s="0"/>
      <c r="AFI145" s="0"/>
      <c r="AFJ145" s="0"/>
      <c r="AFK145" s="0"/>
      <c r="AFL145" s="0"/>
      <c r="AFM145" s="0"/>
      <c r="AFN145" s="0"/>
      <c r="AFO145" s="0"/>
      <c r="AFP145" s="0"/>
      <c r="AFQ145" s="0"/>
      <c r="AFR145" s="0"/>
      <c r="AFS145" s="0"/>
      <c r="AFT145" s="0"/>
      <c r="AFU145" s="0"/>
      <c r="AFV145" s="0"/>
      <c r="AFW145" s="0"/>
      <c r="AFX145" s="0"/>
      <c r="AFY145" s="0"/>
      <c r="AFZ145" s="0"/>
      <c r="AGA145" s="0"/>
      <c r="AGB145" s="0"/>
      <c r="AGC145" s="0"/>
      <c r="AGD145" s="0"/>
      <c r="AGE145" s="0"/>
      <c r="AGF145" s="0"/>
      <c r="AGG145" s="0"/>
      <c r="AGH145" s="0"/>
      <c r="AGI145" s="0"/>
      <c r="AGJ145" s="0"/>
      <c r="AGK145" s="0"/>
      <c r="AGL145" s="0"/>
      <c r="AGM145" s="0"/>
      <c r="AGN145" s="0"/>
      <c r="AGO145" s="0"/>
      <c r="AGP145" s="0"/>
      <c r="AGQ145" s="0"/>
      <c r="AGR145" s="0"/>
      <c r="AGS145" s="0"/>
      <c r="AGT145" s="0"/>
      <c r="AGU145" s="0"/>
      <c r="AGV145" s="0"/>
      <c r="AGW145" s="0"/>
      <c r="AGX145" s="0"/>
      <c r="AGY145" s="0"/>
      <c r="AGZ145" s="0"/>
      <c r="AHA145" s="0"/>
      <c r="AHB145" s="0"/>
      <c r="AHC145" s="0"/>
      <c r="AHD145" s="0"/>
      <c r="AHE145" s="0"/>
      <c r="AHF145" s="0"/>
      <c r="AHG145" s="0"/>
      <c r="AHH145" s="0"/>
      <c r="AHI145" s="0"/>
      <c r="AHJ145" s="0"/>
      <c r="AHK145" s="0"/>
      <c r="AHL145" s="0"/>
      <c r="AHM145" s="0"/>
      <c r="AHN145" s="0"/>
      <c r="AHO145" s="0"/>
      <c r="AHP145" s="0"/>
      <c r="AHQ145" s="0"/>
      <c r="AHR145" s="0"/>
      <c r="AHS145" s="0"/>
      <c r="AHT145" s="0"/>
      <c r="AHU145" s="0"/>
      <c r="AHV145" s="0"/>
      <c r="AHW145" s="0"/>
      <c r="AHX145" s="0"/>
      <c r="AHY145" s="0"/>
      <c r="AHZ145" s="0"/>
      <c r="AIA145" s="0"/>
      <c r="AIB145" s="0"/>
      <c r="AIC145" s="0"/>
      <c r="AID145" s="0"/>
      <c r="AIE145" s="0"/>
      <c r="AIF145" s="0"/>
      <c r="AIG145" s="0"/>
      <c r="AIH145" s="0"/>
      <c r="AII145" s="0"/>
      <c r="AIJ145" s="0"/>
      <c r="AIK145" s="0"/>
      <c r="AIL145" s="0"/>
      <c r="AIM145" s="0"/>
      <c r="AIN145" s="0"/>
      <c r="AIO145" s="0"/>
      <c r="AIP145" s="0"/>
      <c r="AIQ145" s="0"/>
      <c r="AIR145" s="0"/>
      <c r="AIS145" s="0"/>
      <c r="AIT145" s="0"/>
      <c r="AIU145" s="0"/>
      <c r="AIV145" s="0"/>
      <c r="AIW145" s="0"/>
      <c r="AIX145" s="0"/>
      <c r="AIY145" s="0"/>
      <c r="AIZ145" s="0"/>
      <c r="AJA145" s="0"/>
      <c r="AJB145" s="0"/>
      <c r="AJC145" s="0"/>
      <c r="AJD145" s="0"/>
      <c r="AJE145" s="0"/>
      <c r="AJF145" s="0"/>
      <c r="AJG145" s="0"/>
      <c r="AJH145" s="0"/>
      <c r="AJI145" s="0"/>
      <c r="AJJ145" s="0"/>
      <c r="AJK145" s="0"/>
      <c r="AJL145" s="0"/>
      <c r="AJM145" s="0"/>
      <c r="AJN145" s="0"/>
      <c r="AJO145" s="0"/>
      <c r="AJP145" s="0"/>
      <c r="AJQ145" s="0"/>
      <c r="AJR145" s="0"/>
      <c r="AJS145" s="0"/>
      <c r="AJT145" s="0"/>
      <c r="AJU145" s="0"/>
      <c r="AJV145" s="0"/>
      <c r="AJW145" s="0"/>
      <c r="AJX145" s="0"/>
      <c r="AJY145" s="0"/>
      <c r="AJZ145" s="0"/>
      <c r="AKA145" s="0"/>
      <c r="AKB145" s="0"/>
      <c r="AKC145" s="0"/>
      <c r="AKD145" s="0"/>
      <c r="AKE145" s="0"/>
      <c r="AKF145" s="0"/>
      <c r="AKG145" s="0"/>
      <c r="AKH145" s="0"/>
      <c r="AKI145" s="0"/>
      <c r="AKJ145" s="0"/>
      <c r="AKK145" s="0"/>
      <c r="AKL145" s="0"/>
      <c r="AKM145" s="0"/>
      <c r="AKN145" s="0"/>
      <c r="AKO145" s="0"/>
      <c r="AKP145" s="0"/>
      <c r="AKQ145" s="0"/>
      <c r="AKR145" s="0"/>
      <c r="AKS145" s="0"/>
      <c r="AKT145" s="0"/>
      <c r="AKU145" s="0"/>
      <c r="AKV145" s="0"/>
      <c r="AKW145" s="0"/>
      <c r="AKX145" s="0"/>
      <c r="AKY145" s="0"/>
      <c r="AKZ145" s="0"/>
      <c r="ALA145" s="0"/>
      <c r="ALB145" s="0"/>
      <c r="ALC145" s="0"/>
      <c r="ALD145" s="0"/>
      <c r="ALE145" s="0"/>
      <c r="ALF145" s="0"/>
      <c r="ALG145" s="0"/>
      <c r="ALH145" s="0"/>
      <c r="ALI145" s="0"/>
      <c r="ALJ145" s="0"/>
      <c r="ALK145" s="0"/>
      <c r="ALL145" s="0"/>
      <c r="ALM145" s="0"/>
      <c r="ALN145" s="0"/>
      <c r="ALO145" s="0"/>
      <c r="ALP145" s="0"/>
      <c r="ALQ145" s="0"/>
      <c r="ALR145" s="0"/>
      <c r="ALS145" s="0"/>
      <c r="ALT145" s="0"/>
      <c r="ALU145" s="0"/>
      <c r="ALV145" s="0"/>
      <c r="ALW145" s="0"/>
      <c r="ALX145" s="0"/>
      <c r="ALY145" s="0"/>
      <c r="ALZ145" s="0"/>
      <c r="AMA145" s="0"/>
      <c r="AMB145" s="0"/>
      <c r="AMC145" s="0"/>
      <c r="AMD145" s="0"/>
      <c r="AME145" s="0"/>
      <c r="AMF145" s="0"/>
      <c r="AMG145" s="0"/>
      <c r="AMH145" s="0"/>
      <c r="AMI145" s="0"/>
      <c r="AMJ145" s="0"/>
    </row>
    <row r="146" customFormat="false" ht="14.4" hidden="false" customHeight="false" outlineLevel="0" collapsed="false">
      <c r="A146" s="80" t="n">
        <f aca="false">(B146/83)*100</f>
        <v>14.4578313253012</v>
      </c>
      <c r="B146" s="14" t="n">
        <v>12</v>
      </c>
      <c r="C146" s="14" t="s">
        <v>199</v>
      </c>
      <c r="D146" s="14" t="n">
        <f aca="false">E146/I146</f>
        <v>0.2375</v>
      </c>
      <c r="E146" s="15" t="n">
        <f aca="false">(G146+F146)/2/H146</f>
        <v>190</v>
      </c>
      <c r="F146" s="38" t="n">
        <v>890</v>
      </c>
      <c r="G146" s="17" t="n">
        <v>1010</v>
      </c>
      <c r="H146" s="39" t="n">
        <v>5</v>
      </c>
      <c r="I146" s="19" t="n">
        <v>800</v>
      </c>
      <c r="J146" s="19" t="n">
        <v>0.033</v>
      </c>
      <c r="K146" s="19" t="n">
        <v>0.001</v>
      </c>
      <c r="L146" s="23"/>
      <c r="O146" s="19" t="n">
        <v>0.0004</v>
      </c>
      <c r="R146" s="21" t="n">
        <f aca="false">A146*N146</f>
        <v>0</v>
      </c>
      <c r="T146" s="22" t="n">
        <f aca="false">(G146-F146)/H146/E146</f>
        <v>0.126315789473684</v>
      </c>
      <c r="Z146" s="40" t="s">
        <v>205</v>
      </c>
      <c r="AA146" s="19" t="s">
        <v>206</v>
      </c>
      <c r="AB146" s="41" t="n">
        <v>2007</v>
      </c>
      <c r="AC146" s="40" t="s">
        <v>184</v>
      </c>
      <c r="AE146" s="19" t="n">
        <v>250</v>
      </c>
      <c r="AH146" s="19" t="n">
        <v>3.1</v>
      </c>
      <c r="AO146" s="40"/>
      <c r="AX146" s="41" t="n">
        <v>0</v>
      </c>
    </row>
    <row r="147" customFormat="false" ht="14.4" hidden="false" customHeight="false" outlineLevel="0" collapsed="false">
      <c r="A147" s="80" t="n">
        <f aca="false">(B147/83)*100</f>
        <v>14.4578313253012</v>
      </c>
      <c r="B147" s="14" t="n">
        <v>12</v>
      </c>
      <c r="C147" s="14" t="s">
        <v>199</v>
      </c>
      <c r="D147" s="14" t="n">
        <f aca="false">E147/I147</f>
        <v>0.23125</v>
      </c>
      <c r="E147" s="15" t="n">
        <f aca="false">(G147+F147)/2/H147</f>
        <v>185</v>
      </c>
      <c r="F147" s="38" t="n">
        <v>1040</v>
      </c>
      <c r="G147" s="17" t="n">
        <v>1180</v>
      </c>
      <c r="H147" s="39" t="n">
        <v>6</v>
      </c>
      <c r="I147" s="19" t="n">
        <v>800</v>
      </c>
      <c r="J147" s="19" t="n">
        <v>0.033</v>
      </c>
      <c r="K147" s="19" t="n">
        <v>0.001</v>
      </c>
      <c r="L147" s="23"/>
      <c r="O147" s="19" t="n">
        <v>0.0001</v>
      </c>
      <c r="R147" s="21" t="n">
        <f aca="false">A147*N147</f>
        <v>0</v>
      </c>
      <c r="T147" s="22" t="n">
        <f aca="false">(G147-F147)/H147/E147</f>
        <v>0.126126126126126</v>
      </c>
      <c r="Z147" s="40" t="s">
        <v>205</v>
      </c>
      <c r="AA147" s="19" t="s">
        <v>206</v>
      </c>
      <c r="AB147" s="41" t="n">
        <v>2007</v>
      </c>
      <c r="AC147" s="40" t="s">
        <v>184</v>
      </c>
      <c r="AE147" s="19" t="n">
        <v>250</v>
      </c>
      <c r="AH147" s="19" t="n">
        <v>3.1</v>
      </c>
      <c r="AO147" s="40" t="s">
        <v>207</v>
      </c>
      <c r="AX147" s="41" t="n">
        <v>0</v>
      </c>
    </row>
    <row r="148" customFormat="false" ht="13.8" hidden="false" customHeight="false" outlineLevel="0" collapsed="false">
      <c r="B148" s="14" t="n">
        <v>2.1</v>
      </c>
      <c r="C148" s="14" t="s">
        <v>208</v>
      </c>
      <c r="E148" s="15" t="n">
        <v>500</v>
      </c>
      <c r="I148" s="19" t="n">
        <v>800</v>
      </c>
      <c r="J148" s="19" t="n">
        <v>0.013</v>
      </c>
      <c r="K148" s="19" t="n">
        <v>6E-006</v>
      </c>
      <c r="N148" s="19" t="n">
        <v>50</v>
      </c>
      <c r="Z148" s="24" t="s">
        <v>209</v>
      </c>
      <c r="AA148" s="19" t="s">
        <v>210</v>
      </c>
      <c r="AB148" s="25" t="n">
        <v>2008</v>
      </c>
      <c r="AC148" s="40" t="s">
        <v>189</v>
      </c>
      <c r="AE148" s="19" t="n">
        <v>0.2</v>
      </c>
      <c r="AO148" s="40" t="s">
        <v>211</v>
      </c>
    </row>
    <row r="149" customFormat="false" ht="13.8" hidden="false" customHeight="false" outlineLevel="0" collapsed="false">
      <c r="B149" s="14" t="n">
        <v>2.1</v>
      </c>
      <c r="C149" s="14" t="s">
        <v>208</v>
      </c>
      <c r="E149" s="15" t="n">
        <v>500</v>
      </c>
      <c r="I149" s="19" t="n">
        <v>800</v>
      </c>
      <c r="J149" s="19" t="n">
        <v>0.013</v>
      </c>
      <c r="K149" s="19" t="n">
        <v>6E-006</v>
      </c>
      <c r="N149" s="19" t="n">
        <v>50</v>
      </c>
      <c r="Z149" s="24" t="s">
        <v>209</v>
      </c>
      <c r="AA149" s="19" t="s">
        <v>210</v>
      </c>
      <c r="AB149" s="25" t="n">
        <v>2008</v>
      </c>
      <c r="AC149" s="40" t="s">
        <v>189</v>
      </c>
      <c r="AE149" s="19" t="n">
        <v>0.07</v>
      </c>
      <c r="AO149" s="40" t="s">
        <v>211</v>
      </c>
    </row>
    <row r="150" customFormat="false" ht="13.8" hidden="false" customHeight="false" outlineLevel="0" collapsed="false">
      <c r="B150" s="14" t="n">
        <v>2.1</v>
      </c>
      <c r="C150" s="14" t="s">
        <v>212</v>
      </c>
      <c r="E150" s="15" t="n">
        <v>250</v>
      </c>
      <c r="I150" s="19" t="n">
        <v>800</v>
      </c>
      <c r="J150" s="19" t="n">
        <v>0.013</v>
      </c>
      <c r="K150" s="19" t="n">
        <v>6E-006</v>
      </c>
      <c r="N150" s="19" t="n">
        <v>50</v>
      </c>
      <c r="Z150" s="24" t="s">
        <v>209</v>
      </c>
      <c r="AA150" s="19" t="s">
        <v>210</v>
      </c>
      <c r="AB150" s="25" t="n">
        <v>2008</v>
      </c>
      <c r="AC150" s="40" t="s">
        <v>189</v>
      </c>
      <c r="AE150" s="19" t="n">
        <v>0.2</v>
      </c>
      <c r="AO150" s="40" t="s">
        <v>211</v>
      </c>
    </row>
    <row r="151" customFormat="false" ht="13.8" hidden="false" customHeight="false" outlineLevel="0" collapsed="false">
      <c r="B151" s="14" t="n">
        <v>2.1</v>
      </c>
      <c r="C151" s="14" t="s">
        <v>212</v>
      </c>
      <c r="E151" s="15" t="n">
        <v>250</v>
      </c>
      <c r="I151" s="19" t="n">
        <v>800</v>
      </c>
      <c r="J151" s="19" t="n">
        <v>0.013</v>
      </c>
      <c r="K151" s="19" t="n">
        <v>6E-006</v>
      </c>
      <c r="N151" s="19" t="n">
        <v>50</v>
      </c>
      <c r="Z151" s="24" t="s">
        <v>209</v>
      </c>
      <c r="AA151" s="19" t="s">
        <v>210</v>
      </c>
      <c r="AB151" s="25" t="n">
        <v>2008</v>
      </c>
      <c r="AC151" s="40" t="s">
        <v>189</v>
      </c>
      <c r="AE151" s="19" t="n">
        <v>0.07</v>
      </c>
      <c r="AO151" s="40" t="s">
        <v>211</v>
      </c>
    </row>
  </sheetData>
  <autoFilter ref="A1:AZ6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1:115"/>
  <sheetViews>
    <sheetView windowProtection="false" showFormulas="false" showGridLines="true" showRowColHeaders="true" showZeros="true" rightToLeft="false" tabSelected="false" showOutlineSymbols="true" defaultGridColor="true" view="normal" topLeftCell="A2" colorId="64" zoomScale="70" zoomScaleNormal="70" zoomScalePageLayoutView="100" workbookViewId="0">
      <pane xSplit="0" ySplit="390" topLeftCell="A1" activePane="bottomLeft" state="split"/>
      <selection pane="topLeft" activeCell="A2" activeCellId="0" sqref="A2"/>
      <selection pane="bottomLeft" activeCell="C4" activeCellId="0" sqref="C4"/>
    </sheetView>
  </sheetViews>
  <sheetFormatPr defaultRowHeight="14.4"/>
  <cols>
    <col collapsed="false" hidden="false" max="7" min="1" style="19" width="20.8866396761134"/>
    <col collapsed="false" hidden="false" max="8" min="8" style="19" width="24.5506072874494"/>
    <col collapsed="false" hidden="false" max="9" min="9" style="19" width="8.66396761133603"/>
    <col collapsed="false" hidden="false" max="10" min="10" style="19" width="16.6599190283401"/>
    <col collapsed="false" hidden="false" max="11" min="11" style="19" width="10.995951417004"/>
    <col collapsed="false" hidden="false" max="12" min="12" style="19" width="9.66396761133603"/>
    <col collapsed="false" hidden="false" max="13" min="13" style="19" width="11.5546558704453"/>
    <col collapsed="false" hidden="false" max="17" min="14" style="19" width="9.99595141700405"/>
    <col collapsed="false" hidden="false" max="18" min="18" style="19" width="20.1093117408907"/>
    <col collapsed="false" hidden="false" max="19" min="19" style="19" width="16.5546558704453"/>
    <col collapsed="false" hidden="false" max="20" min="20" style="19" width="27.663967611336"/>
    <col collapsed="false" hidden="false" max="21" min="21" style="19" width="29.663967611336"/>
    <col collapsed="false" hidden="false" max="22" min="22" style="24" width="52.5506072874494"/>
    <col collapsed="false" hidden="false" max="23" min="23" style="24" width="24.331983805668"/>
    <col collapsed="false" hidden="false" max="24" min="24" style="16" width="11.8906882591093"/>
    <col collapsed="false" hidden="false" max="25" min="25" style="17" width="23.5506072874494"/>
    <col collapsed="false" hidden="false" max="26" min="26" style="19" width="14.4412955465587"/>
    <col collapsed="false" hidden="false" max="27" min="27" style="19" width="10.8825910931174"/>
    <col collapsed="false" hidden="false" max="28" min="28" style="25" width="11.8906882591093"/>
    <col collapsed="false" hidden="false" max="29" min="29" style="19" width="23.668016194332"/>
    <col collapsed="false" hidden="false" max="30" min="30" style="45" width="12.331983805668"/>
    <col collapsed="false" hidden="false" max="31" min="31" style="45" width="12.8906882591093"/>
    <col collapsed="false" hidden="false" max="32" min="32" style="70" width="10.5546558704453"/>
    <col collapsed="false" hidden="false" max="33" min="33" style="70" width="11.331983805668"/>
    <col collapsed="false" hidden="false" max="34" min="34" style="88" width="11.8906882591093"/>
    <col collapsed="false" hidden="false" max="35" min="35" style="19" width="35.663967611336"/>
    <col collapsed="false" hidden="false" max="36" min="36" style="19" width="41.9959514170041"/>
    <col collapsed="false" hidden="false" max="38" min="37" style="19" width="11.4412955465587"/>
    <col collapsed="false" hidden="false" max="39" min="39" style="19" width="17.8906882591093"/>
    <col collapsed="false" hidden="false" max="40" min="40" style="19" width="11.4412955465587"/>
    <col collapsed="false" hidden="false" max="41" min="41" style="19" width="25.663967611336"/>
    <col collapsed="false" hidden="false" max="1025" min="42" style="19" width="11.4412955465587"/>
  </cols>
  <sheetData>
    <row r="1" s="98" customFormat="true" ht="14.4" hidden="false" customHeight="false" outlineLevel="0" collapsed="false">
      <c r="A1" s="89" t="s">
        <v>213</v>
      </c>
      <c r="B1" s="90" t="s">
        <v>214</v>
      </c>
      <c r="C1" s="90" t="s">
        <v>215</v>
      </c>
      <c r="D1" s="90" t="s">
        <v>19</v>
      </c>
      <c r="E1" s="90" t="s">
        <v>20</v>
      </c>
      <c r="F1" s="90" t="s">
        <v>216</v>
      </c>
      <c r="G1" s="90" t="s">
        <v>217</v>
      </c>
      <c r="H1" s="90" t="s">
        <v>218</v>
      </c>
      <c r="I1" s="90" t="s">
        <v>41</v>
      </c>
      <c r="J1" s="90" t="s">
        <v>219</v>
      </c>
      <c r="K1" s="89" t="s">
        <v>44</v>
      </c>
      <c r="L1" s="90" t="s">
        <v>220</v>
      </c>
      <c r="M1" s="90" t="s">
        <v>221</v>
      </c>
      <c r="N1" s="90" t="s">
        <v>222</v>
      </c>
      <c r="O1" s="90" t="s">
        <v>223</v>
      </c>
      <c r="P1" s="90" t="s">
        <v>224</v>
      </c>
      <c r="Q1" s="90" t="s">
        <v>225</v>
      </c>
      <c r="R1" s="90" t="s">
        <v>226</v>
      </c>
      <c r="S1" s="90" t="s">
        <v>98</v>
      </c>
      <c r="T1" s="90" t="s">
        <v>227</v>
      </c>
      <c r="U1" s="90" t="s">
        <v>228</v>
      </c>
      <c r="V1" s="89" t="s">
        <v>229</v>
      </c>
      <c r="W1" s="89" t="s">
        <v>230</v>
      </c>
      <c r="X1" s="91" t="s">
        <v>231</v>
      </c>
      <c r="Y1" s="92" t="s">
        <v>232</v>
      </c>
      <c r="Z1" s="90" t="s">
        <v>19</v>
      </c>
      <c r="AA1" s="93" t="s">
        <v>20</v>
      </c>
      <c r="AB1" s="93" t="s">
        <v>21</v>
      </c>
      <c r="AC1" s="93" t="s">
        <v>233</v>
      </c>
      <c r="AD1" s="94" t="s">
        <v>234</v>
      </c>
      <c r="AE1" s="95" t="s">
        <v>235</v>
      </c>
      <c r="AF1" s="96" t="s">
        <v>19</v>
      </c>
      <c r="AG1" s="96" t="s">
        <v>20</v>
      </c>
      <c r="AH1" s="97" t="s">
        <v>21</v>
      </c>
      <c r="AI1" s="90" t="s">
        <v>236</v>
      </c>
      <c r="AJ1" s="93" t="s">
        <v>237</v>
      </c>
      <c r="AM1" s="90" t="s">
        <v>238</v>
      </c>
      <c r="AN1" s="98" t="s">
        <v>239</v>
      </c>
      <c r="AO1" s="89" t="s">
        <v>240</v>
      </c>
      <c r="AP1" s="98" t="s">
        <v>241</v>
      </c>
    </row>
    <row r="2" customFormat="false" ht="15" hidden="false" customHeight="true" outlineLevel="0" collapsed="false">
      <c r="A2" s="99" t="n">
        <v>1.15</v>
      </c>
      <c r="B2" s="70" t="n">
        <f aca="false">C2/J2</f>
        <v>1.00833333333333</v>
      </c>
      <c r="C2" s="19" t="n">
        <f aca="false">1000000000*D2</f>
        <v>806.666666666667</v>
      </c>
      <c r="D2" s="70" t="n">
        <v>8.06666666666667E-007</v>
      </c>
      <c r="E2" s="70" t="n">
        <v>3.16666666666666E-008</v>
      </c>
      <c r="F2" s="70" t="n">
        <f aca="false">E2/2</f>
        <v>1.58333333333333E-008</v>
      </c>
      <c r="G2" s="100" t="n">
        <f aca="false">E2/D2</f>
        <v>0.0392561983471074</v>
      </c>
      <c r="H2" s="100" t="n">
        <f aca="false">G2/2</f>
        <v>0.0196280991735537</v>
      </c>
      <c r="I2" s="19" t="n">
        <v>1</v>
      </c>
      <c r="J2" s="70" t="n">
        <f aca="false">1000000000*K2</f>
        <v>800</v>
      </c>
      <c r="K2" s="99" t="n">
        <v>8E-007</v>
      </c>
      <c r="L2" s="53" t="n">
        <v>1E-013</v>
      </c>
      <c r="M2" s="53" t="n">
        <f aca="false">L2*1000000000000</f>
        <v>0.1</v>
      </c>
      <c r="N2" s="19" t="s">
        <v>116</v>
      </c>
      <c r="O2" s="19" t="s">
        <v>242</v>
      </c>
      <c r="P2" s="70" t="n">
        <v>3.37E-005</v>
      </c>
      <c r="Q2" s="101" t="n">
        <f aca="false">P2*1000000</f>
        <v>33.7</v>
      </c>
      <c r="R2" s="19" t="n">
        <v>0</v>
      </c>
      <c r="S2" s="19" t="s">
        <v>243</v>
      </c>
      <c r="T2" s="99" t="n">
        <f aca="false">A2/L2</f>
        <v>11500000000000</v>
      </c>
      <c r="U2" s="99" t="n">
        <f aca="false">I2*T2</f>
        <v>11500000000000</v>
      </c>
      <c r="V2" s="102" t="n">
        <f aca="false">I2*A2</f>
        <v>1.15</v>
      </c>
      <c r="W2" s="40" t="n">
        <f aca="false">AF2/K2</f>
        <v>1.00833333333333</v>
      </c>
      <c r="X2" s="0"/>
      <c r="Y2" s="0"/>
      <c r="Z2" s="0"/>
      <c r="AA2" s="0"/>
      <c r="AB2" s="0"/>
      <c r="AC2" s="19" t="n">
        <v>6</v>
      </c>
      <c r="AD2" s="45" t="n">
        <v>4.65E-006</v>
      </c>
      <c r="AE2" s="45" t="n">
        <v>5.03E-006</v>
      </c>
      <c r="AF2" s="70" t="n">
        <f aca="false">(AE2+AD2)/(2*AC2)</f>
        <v>8.06666666666667E-007</v>
      </c>
      <c r="AG2" s="70" t="n">
        <f aca="false">(AE2-AD2)/(2*AC2)</f>
        <v>3.16666666666666E-008</v>
      </c>
      <c r="AH2" s="103" t="n">
        <f aca="false">AG2/AF2</f>
        <v>0.0392561983471074</v>
      </c>
      <c r="AI2" s="19" t="s">
        <v>244</v>
      </c>
      <c r="AJ2" s="19" t="s">
        <v>245</v>
      </c>
      <c r="AK2" s="0"/>
      <c r="AL2" s="0"/>
      <c r="AM2" s="19" t="s">
        <v>110</v>
      </c>
      <c r="AN2" s="19" t="s">
        <v>123</v>
      </c>
      <c r="AO2" s="104" t="n">
        <v>40345</v>
      </c>
      <c r="AP2" s="70" t="n">
        <f aca="false">D2/K2</f>
        <v>1.00833333333333</v>
      </c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5" hidden="false" customHeight="true" outlineLevel="0" collapsed="false">
      <c r="A3" s="99" t="n">
        <v>1.2</v>
      </c>
      <c r="B3" s="70" t="n">
        <f aca="false">C3/J3</f>
        <v>1.03</v>
      </c>
      <c r="C3" s="19" t="n">
        <f aca="false">1000000000*D3</f>
        <v>824</v>
      </c>
      <c r="D3" s="70" t="n">
        <v>8.24E-007</v>
      </c>
      <c r="E3" s="70" t="n">
        <v>4.8E-008</v>
      </c>
      <c r="F3" s="70" t="n">
        <f aca="false">E3/2</f>
        <v>2.4E-008</v>
      </c>
      <c r="G3" s="100" t="n">
        <f aca="false">E3/D3</f>
        <v>0.058252427184466</v>
      </c>
      <c r="H3" s="100" t="n">
        <f aca="false">G3/2</f>
        <v>0.029126213592233</v>
      </c>
      <c r="I3" s="19" t="n">
        <v>1</v>
      </c>
      <c r="J3" s="70" t="n">
        <f aca="false">1000000000*K3</f>
        <v>800</v>
      </c>
      <c r="K3" s="99" t="n">
        <v>8E-007</v>
      </c>
      <c r="L3" s="53" t="n">
        <v>1E-013</v>
      </c>
      <c r="M3" s="53" t="n">
        <f aca="false">L3*1000000000000</f>
        <v>0.1</v>
      </c>
      <c r="N3" s="19" t="s">
        <v>116</v>
      </c>
      <c r="O3" s="19" t="s">
        <v>242</v>
      </c>
      <c r="P3" s="70" t="n">
        <v>3.37E-005</v>
      </c>
      <c r="Q3" s="101" t="n">
        <f aca="false">P3*1000000</f>
        <v>33.7</v>
      </c>
      <c r="R3" s="19" t="n">
        <v>0</v>
      </c>
      <c r="S3" s="19" t="s">
        <v>243</v>
      </c>
      <c r="T3" s="99" t="n">
        <f aca="false">A3/L3</f>
        <v>12000000000000</v>
      </c>
      <c r="U3" s="99" t="n">
        <f aca="false">I3*T3</f>
        <v>12000000000000</v>
      </c>
      <c r="V3" s="102" t="n">
        <f aca="false">I3*A3</f>
        <v>1.2</v>
      </c>
      <c r="W3" s="40" t="n">
        <f aca="false">AF3/K3</f>
        <v>1.03</v>
      </c>
      <c r="X3" s="0"/>
      <c r="Y3" s="0"/>
      <c r="Z3" s="0"/>
      <c r="AA3" s="0"/>
      <c r="AB3" s="0"/>
      <c r="AC3" s="19" t="n">
        <v>5</v>
      </c>
      <c r="AD3" s="45" t="n">
        <v>3.88E-006</v>
      </c>
      <c r="AE3" s="45" t="n">
        <v>4.36E-006</v>
      </c>
      <c r="AF3" s="70" t="n">
        <f aca="false">(AE3+AD3)/(2*AC3)</f>
        <v>8.24E-007</v>
      </c>
      <c r="AG3" s="70" t="n">
        <f aca="false">(AE3-AD3)/(2*AC3)</f>
        <v>4.79999999999999E-008</v>
      </c>
      <c r="AH3" s="103" t="n">
        <f aca="false">AG3/AF3</f>
        <v>0.0582524271844659</v>
      </c>
      <c r="AI3" s="19" t="s">
        <v>244</v>
      </c>
      <c r="AJ3" s="19" t="s">
        <v>245</v>
      </c>
      <c r="AK3" s="0"/>
      <c r="AL3" s="0"/>
      <c r="AM3" s="19" t="s">
        <v>110</v>
      </c>
      <c r="AN3" s="19" t="s">
        <v>123</v>
      </c>
      <c r="AO3" s="40"/>
      <c r="AP3" s="70" t="n">
        <f aca="false">D3/K3</f>
        <v>1.03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5" hidden="false" customHeight="true" outlineLevel="0" collapsed="false">
      <c r="A4" s="40" t="n">
        <v>0.1</v>
      </c>
      <c r="B4" s="70" t="n">
        <f aca="false">C4/J4</f>
        <v>0.944642857142857</v>
      </c>
      <c r="C4" s="19" t="n">
        <f aca="false">1000000000*D4</f>
        <v>755.714285714286</v>
      </c>
      <c r="D4" s="19" t="n">
        <v>7.55714285714286E-007</v>
      </c>
      <c r="E4" s="19" t="n">
        <v>4E-008</v>
      </c>
      <c r="F4" s="0"/>
      <c r="G4" s="100" t="n">
        <f aca="false">E4/D4</f>
        <v>0.052930056710775</v>
      </c>
      <c r="H4" s="100"/>
      <c r="I4" s="64" t="n">
        <v>2</v>
      </c>
      <c r="J4" s="70" t="n">
        <f aca="false">1000000000*K4</f>
        <v>800</v>
      </c>
      <c r="K4" s="99" t="n">
        <v>8E-007</v>
      </c>
      <c r="L4" s="53" t="n">
        <v>1E-013</v>
      </c>
      <c r="M4" s="53" t="n">
        <f aca="false">L4*1000000000000</f>
        <v>0.1</v>
      </c>
      <c r="N4" s="19" t="s">
        <v>116</v>
      </c>
      <c r="O4" s="0"/>
      <c r="P4" s="0"/>
      <c r="Q4" s="0"/>
      <c r="R4" s="19" t="n">
        <v>0</v>
      </c>
      <c r="S4" s="19" t="s">
        <v>243</v>
      </c>
      <c r="T4" s="99" t="n">
        <f aca="false">A4/L4</f>
        <v>1000000000000</v>
      </c>
      <c r="U4" s="99" t="n">
        <f aca="false">I4*T4</f>
        <v>2000000000000</v>
      </c>
      <c r="V4" s="102" t="n">
        <f aca="false">I4*A4</f>
        <v>0.2</v>
      </c>
      <c r="W4" s="99" t="n">
        <f aca="false">AF4/K4</f>
        <v>0.944642857142857</v>
      </c>
      <c r="X4" s="0"/>
      <c r="Y4" s="0"/>
      <c r="Z4" s="0"/>
      <c r="AA4" s="0"/>
      <c r="AB4" s="0"/>
      <c r="AC4" s="19" t="n">
        <v>7</v>
      </c>
      <c r="AD4" s="45" t="n">
        <v>5.01E-006</v>
      </c>
      <c r="AE4" s="45" t="n">
        <v>5.57E-006</v>
      </c>
      <c r="AF4" s="70" t="n">
        <f aca="false">(AE4+AD4)/(2*AC4)</f>
        <v>7.55714285714286E-007</v>
      </c>
      <c r="AG4" s="70" t="n">
        <f aca="false">(AE4-AD4)/(2*AC4)</f>
        <v>4E-008</v>
      </c>
      <c r="AH4" s="103" t="n">
        <f aca="false">AG4/AF4</f>
        <v>0.052930056710775</v>
      </c>
      <c r="AI4" s="105" t="s">
        <v>246</v>
      </c>
      <c r="AJ4" s="0"/>
      <c r="AK4" s="0"/>
      <c r="AL4" s="0"/>
      <c r="AM4" s="0"/>
      <c r="AN4" s="0"/>
      <c r="AO4" s="104" t="n">
        <v>40389</v>
      </c>
      <c r="AP4" s="70" t="n">
        <f aca="false">D4/K4</f>
        <v>0.944642857142857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5" hidden="false" customHeight="true" outlineLevel="0" collapsed="false">
      <c r="A5" s="40" t="n">
        <v>0.2</v>
      </c>
      <c r="B5" s="70" t="n">
        <f aca="false">C5/J5</f>
        <v>0.8796875</v>
      </c>
      <c r="C5" s="19" t="n">
        <f aca="false">1000000000*D5</f>
        <v>703.75</v>
      </c>
      <c r="D5" s="19" t="n">
        <v>7.0375E-007</v>
      </c>
      <c r="E5" s="19" t="n">
        <v>4.5E-008</v>
      </c>
      <c r="F5" s="0"/>
      <c r="G5" s="100" t="n">
        <f aca="false">E5/D5</f>
        <v>0.063943161634103</v>
      </c>
      <c r="H5" s="100"/>
      <c r="I5" s="64" t="n">
        <v>2</v>
      </c>
      <c r="J5" s="70" t="n">
        <f aca="false">1000000000*K5</f>
        <v>800</v>
      </c>
      <c r="K5" s="99" t="n">
        <v>8E-007</v>
      </c>
      <c r="L5" s="53" t="n">
        <v>1E-013</v>
      </c>
      <c r="M5" s="53" t="n">
        <f aca="false">L5*1000000000000</f>
        <v>0.1</v>
      </c>
      <c r="N5" s="19" t="s">
        <v>116</v>
      </c>
      <c r="O5" s="0"/>
      <c r="P5" s="0"/>
      <c r="Q5" s="0"/>
      <c r="R5" s="19" t="n">
        <v>0</v>
      </c>
      <c r="S5" s="19" t="s">
        <v>243</v>
      </c>
      <c r="T5" s="99" t="n">
        <f aca="false">A5/L5</f>
        <v>2000000000000</v>
      </c>
      <c r="U5" s="99" t="n">
        <f aca="false">I5*T5</f>
        <v>4000000000000</v>
      </c>
      <c r="V5" s="102" t="n">
        <f aca="false">I5*A5</f>
        <v>0.4</v>
      </c>
      <c r="W5" s="99" t="n">
        <f aca="false">AF5/K5</f>
        <v>0.8796875</v>
      </c>
      <c r="X5" s="0"/>
      <c r="Y5" s="0"/>
      <c r="Z5" s="0"/>
      <c r="AA5" s="0"/>
      <c r="AB5" s="0"/>
      <c r="AC5" s="19" t="n">
        <v>16</v>
      </c>
      <c r="AD5" s="45" t="n">
        <v>1.054E-005</v>
      </c>
      <c r="AE5" s="45" t="n">
        <v>1.198E-005</v>
      </c>
      <c r="AF5" s="70" t="n">
        <f aca="false">(AD5+AE5)/(2*AC5)</f>
        <v>7.0375E-007</v>
      </c>
      <c r="AG5" s="70" t="n">
        <f aca="false">(AE5-AD5)/(2*AC5)</f>
        <v>4.5E-008</v>
      </c>
      <c r="AH5" s="103" t="n">
        <f aca="false">AG5/AF5</f>
        <v>0.063943161634103</v>
      </c>
      <c r="AI5" s="105" t="s">
        <v>246</v>
      </c>
      <c r="AJ5" s="0"/>
      <c r="AK5" s="0"/>
      <c r="AL5" s="0"/>
      <c r="AM5" s="0"/>
      <c r="AN5" s="0"/>
      <c r="AO5" s="104" t="n">
        <v>40389</v>
      </c>
      <c r="AP5" s="70" t="n">
        <f aca="false">D5/K5</f>
        <v>0.8796875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5" hidden="false" customHeight="true" outlineLevel="0" collapsed="false">
      <c r="A6" s="40" t="n">
        <v>0.5</v>
      </c>
      <c r="B6" s="70" t="n">
        <f aca="false">C6/J6</f>
        <v>0.944444444444444</v>
      </c>
      <c r="C6" s="19" t="n">
        <f aca="false">1000000000*D6</f>
        <v>755.555555555556</v>
      </c>
      <c r="D6" s="19" t="n">
        <v>7.55555555555556E-007</v>
      </c>
      <c r="E6" s="19" t="n">
        <v>3.77777777777778E-008</v>
      </c>
      <c r="F6" s="0"/>
      <c r="G6" s="100" t="n">
        <f aca="false">E6/D6</f>
        <v>0.05</v>
      </c>
      <c r="H6" s="100"/>
      <c r="I6" s="64" t="n">
        <v>2</v>
      </c>
      <c r="J6" s="70" t="n">
        <f aca="false">1000000000*K6</f>
        <v>800</v>
      </c>
      <c r="K6" s="99" t="n">
        <v>8E-007</v>
      </c>
      <c r="L6" s="53" t="n">
        <v>1E-013</v>
      </c>
      <c r="M6" s="53" t="n">
        <f aca="false">L6*1000000000000</f>
        <v>0.1</v>
      </c>
      <c r="N6" s="19" t="s">
        <v>116</v>
      </c>
      <c r="O6" s="0"/>
      <c r="P6" s="0"/>
      <c r="Q6" s="0"/>
      <c r="R6" s="19" t="n">
        <v>0</v>
      </c>
      <c r="S6" s="19" t="s">
        <v>243</v>
      </c>
      <c r="T6" s="99" t="n">
        <f aca="false">A6/L6</f>
        <v>5000000000000</v>
      </c>
      <c r="U6" s="99" t="n">
        <f aca="false">I6*T6</f>
        <v>10000000000000</v>
      </c>
      <c r="V6" s="102" t="n">
        <f aca="false">I6*A6</f>
        <v>1</v>
      </c>
      <c r="W6" s="99" t="n">
        <f aca="false">AF6/K6</f>
        <v>0.944444444444444</v>
      </c>
      <c r="X6" s="0"/>
      <c r="Y6" s="0"/>
      <c r="Z6" s="0"/>
      <c r="AA6" s="0"/>
      <c r="AB6" s="0"/>
      <c r="AC6" s="19" t="n">
        <v>9</v>
      </c>
      <c r="AD6" s="45" t="n">
        <v>6.46E-006</v>
      </c>
      <c r="AE6" s="45" t="n">
        <v>7.14E-006</v>
      </c>
      <c r="AF6" s="70" t="n">
        <f aca="false">(AE6+AD6)/(2*AC6)</f>
        <v>7.55555555555556E-007</v>
      </c>
      <c r="AG6" s="70" t="n">
        <f aca="false">(AE6-AD6)/(2*AC6)</f>
        <v>3.77777777777778E-008</v>
      </c>
      <c r="AH6" s="103" t="n">
        <f aca="false">AG6/AF6</f>
        <v>0.05</v>
      </c>
      <c r="AI6" s="105" t="s">
        <v>246</v>
      </c>
      <c r="AJ6" s="0"/>
      <c r="AK6" s="0"/>
      <c r="AL6" s="0"/>
      <c r="AM6" s="0"/>
      <c r="AN6" s="0"/>
      <c r="AO6" s="104" t="n">
        <v>40389</v>
      </c>
      <c r="AP6" s="70" t="n">
        <f aca="false">D6/K6</f>
        <v>0.944444444444444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5" hidden="false" customHeight="true" outlineLevel="0" collapsed="false">
      <c r="A7" s="40" t="n">
        <v>0.8</v>
      </c>
      <c r="B7" s="70" t="n">
        <f aca="false">C7/J7</f>
        <v>0.946527777777778</v>
      </c>
      <c r="C7" s="19" t="n">
        <f aca="false">1000000000*D7</f>
        <v>757.222222222222</v>
      </c>
      <c r="D7" s="19" t="n">
        <v>7.57222222222222E-007</v>
      </c>
      <c r="E7" s="19" t="n">
        <v>3.61111111111111E-008</v>
      </c>
      <c r="F7" s="70" t="n">
        <f aca="false">E7/2</f>
        <v>1.80555555555556E-008</v>
      </c>
      <c r="G7" s="100" t="n">
        <f aca="false">E7/D7</f>
        <v>0.0476889214966985</v>
      </c>
      <c r="H7" s="100" t="n">
        <f aca="false">G7/2</f>
        <v>0.0238444607483492</v>
      </c>
      <c r="I7" s="64" t="n">
        <v>2</v>
      </c>
      <c r="J7" s="70" t="n">
        <f aca="false">1000000000*K7</f>
        <v>800</v>
      </c>
      <c r="K7" s="99" t="n">
        <v>8E-007</v>
      </c>
      <c r="L7" s="53" t="n">
        <v>1E-013</v>
      </c>
      <c r="M7" s="53" t="n">
        <f aca="false">L7*1000000000000</f>
        <v>0.1</v>
      </c>
      <c r="N7" s="19" t="s">
        <v>116</v>
      </c>
      <c r="O7" s="0"/>
      <c r="P7" s="0"/>
      <c r="Q7" s="0"/>
      <c r="R7" s="19" t="n">
        <v>0</v>
      </c>
      <c r="S7" s="19" t="s">
        <v>243</v>
      </c>
      <c r="T7" s="99" t="n">
        <f aca="false">A7/L7</f>
        <v>8000000000000</v>
      </c>
      <c r="U7" s="99" t="n">
        <f aca="false">I7*T7</f>
        <v>16000000000000</v>
      </c>
      <c r="V7" s="102" t="n">
        <f aca="false">I7*A7</f>
        <v>1.6</v>
      </c>
      <c r="W7" s="99" t="n">
        <f aca="false">AF7/K7</f>
        <v>0.946527777777778</v>
      </c>
      <c r="X7" s="0"/>
      <c r="Y7" s="0"/>
      <c r="Z7" s="0"/>
      <c r="AA7" s="0"/>
      <c r="AB7" s="0"/>
      <c r="AC7" s="19" t="n">
        <v>9</v>
      </c>
      <c r="AD7" s="45" t="n">
        <v>6.49E-006</v>
      </c>
      <c r="AE7" s="45" t="n">
        <v>7.14E-006</v>
      </c>
      <c r="AF7" s="70" t="n">
        <f aca="false">(AE7+AD7)/(2*AC7)</f>
        <v>7.57222222222222E-007</v>
      </c>
      <c r="AG7" s="70" t="n">
        <f aca="false">(AE7-AD7)/(2*AC7)</f>
        <v>3.61111111111112E-008</v>
      </c>
      <c r="AH7" s="103" t="n">
        <f aca="false">AG7/AF7</f>
        <v>0.0476889214966986</v>
      </c>
      <c r="AI7" s="105" t="s">
        <v>246</v>
      </c>
      <c r="AJ7" s="0"/>
      <c r="AK7" s="0"/>
      <c r="AL7" s="0"/>
      <c r="AM7" s="98" t="s">
        <v>110</v>
      </c>
      <c r="AN7" s="0"/>
      <c r="AO7" s="104" t="n">
        <v>40389</v>
      </c>
      <c r="AP7" s="70" t="n">
        <f aca="false">D7/K7</f>
        <v>0.946527777777778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5" hidden="false" customHeight="true" outlineLevel="0" collapsed="false">
      <c r="A8" s="40" t="n">
        <v>0.1</v>
      </c>
      <c r="B8" s="70" t="n">
        <f aca="false">C8/J8</f>
        <v>0.909895833333333</v>
      </c>
      <c r="C8" s="19" t="n">
        <f aca="false">1000000000*D8</f>
        <v>727.916666666667</v>
      </c>
      <c r="D8" s="19" t="n">
        <v>7.27916666666667E-007</v>
      </c>
      <c r="E8" s="19" t="n">
        <v>2.125E-008</v>
      </c>
      <c r="F8" s="70" t="n">
        <f aca="false">E8/2</f>
        <v>1.0625E-008</v>
      </c>
      <c r="G8" s="100" t="n">
        <f aca="false">E8/D8</f>
        <v>0.0291929021179164</v>
      </c>
      <c r="H8" s="100" t="n">
        <f aca="false">G8/2</f>
        <v>0.0145964510589582</v>
      </c>
      <c r="I8" s="64" t="n">
        <v>3</v>
      </c>
      <c r="J8" s="70" t="n">
        <f aca="false">1000000000*K8</f>
        <v>800</v>
      </c>
      <c r="K8" s="99" t="n">
        <v>8E-007</v>
      </c>
      <c r="L8" s="53" t="n">
        <v>1E-013</v>
      </c>
      <c r="M8" s="53" t="n">
        <f aca="false">L8*1000000000000</f>
        <v>0.1</v>
      </c>
      <c r="N8" s="19" t="s">
        <v>116</v>
      </c>
      <c r="O8" s="0"/>
      <c r="P8" s="0"/>
      <c r="Q8" s="0"/>
      <c r="R8" s="19" t="n">
        <v>0</v>
      </c>
      <c r="S8" s="19" t="s">
        <v>243</v>
      </c>
      <c r="T8" s="99" t="n">
        <f aca="false">A8/L8</f>
        <v>1000000000000</v>
      </c>
      <c r="U8" s="99" t="n">
        <f aca="false">I8*T8</f>
        <v>3000000000000</v>
      </c>
      <c r="V8" s="102" t="n">
        <f aca="false">I8*A8</f>
        <v>0.3</v>
      </c>
      <c r="W8" s="99" t="n">
        <f aca="false">AF8/K8</f>
        <v>0.909895833333333</v>
      </c>
      <c r="X8" s="0"/>
      <c r="Y8" s="0"/>
      <c r="Z8" s="0"/>
      <c r="AA8" s="0"/>
      <c r="AB8" s="0"/>
      <c r="AC8" s="19" t="n">
        <v>12</v>
      </c>
      <c r="AD8" s="45" t="n">
        <v>8.48E-006</v>
      </c>
      <c r="AE8" s="45" t="n">
        <v>8.99E-006</v>
      </c>
      <c r="AF8" s="70" t="n">
        <f aca="false">(AE8+AD8)/(2*AC8)</f>
        <v>7.27916666666667E-007</v>
      </c>
      <c r="AG8" s="70" t="n">
        <f aca="false">(AE8-AD8)/(2*AC8)</f>
        <v>2.125E-008</v>
      </c>
      <c r="AH8" s="103" t="n">
        <f aca="false">AG8/AF8</f>
        <v>0.0291929021179164</v>
      </c>
      <c r="AI8" s="105" t="s">
        <v>246</v>
      </c>
      <c r="AJ8" s="0"/>
      <c r="AK8" s="0"/>
      <c r="AL8" s="0"/>
      <c r="AM8" s="19" t="s">
        <v>110</v>
      </c>
      <c r="AN8" s="0"/>
      <c r="AO8" s="104" t="n">
        <v>40389</v>
      </c>
      <c r="AP8" s="70" t="n">
        <f aca="false">D8/K8</f>
        <v>0.909895833333333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5" hidden="false" customHeight="true" outlineLevel="0" collapsed="false">
      <c r="A9" s="40" t="n">
        <v>0.2</v>
      </c>
      <c r="B9" s="70" t="n">
        <f aca="false">C9/J9</f>
        <v>0.963020833333333</v>
      </c>
      <c r="C9" s="19" t="n">
        <f aca="false">1000000000*D9</f>
        <v>770.416666666667</v>
      </c>
      <c r="D9" s="19" t="n">
        <v>7.70416666666667E-007</v>
      </c>
      <c r="E9" s="19" t="n">
        <v>1.5E-008</v>
      </c>
      <c r="F9" s="70" t="n">
        <f aca="false">E9/2</f>
        <v>7.5E-009</v>
      </c>
      <c r="G9" s="100" t="n">
        <f aca="false">E9/D9</f>
        <v>0.0194699837750135</v>
      </c>
      <c r="H9" s="100" t="n">
        <f aca="false">G9/2</f>
        <v>0.00973499188750676</v>
      </c>
      <c r="I9" s="64" t="n">
        <v>3</v>
      </c>
      <c r="J9" s="70" t="n">
        <f aca="false">1000000000*K9</f>
        <v>800</v>
      </c>
      <c r="K9" s="99" t="n">
        <v>8E-007</v>
      </c>
      <c r="L9" s="53" t="n">
        <v>1E-013</v>
      </c>
      <c r="M9" s="53" t="n">
        <f aca="false">L9*1000000000000</f>
        <v>0.1</v>
      </c>
      <c r="N9" s="19" t="s">
        <v>116</v>
      </c>
      <c r="O9" s="0"/>
      <c r="P9" s="0"/>
      <c r="Q9" s="0"/>
      <c r="R9" s="19" t="n">
        <v>0</v>
      </c>
      <c r="S9" s="19" t="s">
        <v>243</v>
      </c>
      <c r="T9" s="99" t="n">
        <f aca="false">A9/L9</f>
        <v>2000000000000</v>
      </c>
      <c r="U9" s="99" t="n">
        <f aca="false">I9*T9</f>
        <v>6000000000000</v>
      </c>
      <c r="V9" s="102" t="n">
        <f aca="false">I9*A9</f>
        <v>0.6</v>
      </c>
      <c r="W9" s="99" t="n">
        <f aca="false">AF9/K9</f>
        <v>0.963020833333334</v>
      </c>
      <c r="X9" s="0"/>
      <c r="Y9" s="0"/>
      <c r="Z9" s="0"/>
      <c r="AA9" s="0"/>
      <c r="AB9" s="0"/>
      <c r="AC9" s="19" t="n">
        <v>24</v>
      </c>
      <c r="AD9" s="45" t="n">
        <v>1.813E-005</v>
      </c>
      <c r="AE9" s="45" t="n">
        <v>1.885E-005</v>
      </c>
      <c r="AF9" s="70" t="n">
        <f aca="false">(AE9+AD9)/(2*AC9)</f>
        <v>7.70416666666667E-007</v>
      </c>
      <c r="AG9" s="70" t="n">
        <f aca="false">(AE9-AD9)/(2*AC9)</f>
        <v>1.5E-008</v>
      </c>
      <c r="AH9" s="103" t="n">
        <f aca="false">AG9/AF9</f>
        <v>0.0194699837750135</v>
      </c>
      <c r="AI9" s="105" t="s">
        <v>246</v>
      </c>
      <c r="AJ9" s="0"/>
      <c r="AK9" s="0"/>
      <c r="AL9" s="0"/>
      <c r="AM9" s="19" t="s">
        <v>110</v>
      </c>
      <c r="AN9" s="0"/>
      <c r="AO9" s="104" t="n">
        <v>40389</v>
      </c>
      <c r="AP9" s="70" t="n">
        <f aca="false">D9/K9</f>
        <v>0.963020833333333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5" hidden="false" customHeight="true" outlineLevel="0" collapsed="false">
      <c r="A10" s="106" t="n">
        <v>0.313</v>
      </c>
      <c r="B10" s="70" t="n">
        <f aca="false">C10/J10</f>
        <v>0.9</v>
      </c>
      <c r="C10" s="107" t="n">
        <f aca="false">1000000000*D10</f>
        <v>720</v>
      </c>
      <c r="D10" s="20" t="n">
        <f aca="false">Z10</f>
        <v>7.2E-007</v>
      </c>
      <c r="E10" s="20" t="n">
        <f aca="false">AA10</f>
        <v>8E-008</v>
      </c>
      <c r="F10" s="70" t="n">
        <f aca="false">E10/2</f>
        <v>4E-008</v>
      </c>
      <c r="G10" s="100" t="n">
        <f aca="false">E10/D10</f>
        <v>0.111111111111111</v>
      </c>
      <c r="H10" s="100" t="n">
        <f aca="false">G10/2</f>
        <v>0.0555555555555555</v>
      </c>
      <c r="I10" s="108" t="n">
        <v>3</v>
      </c>
      <c r="J10" s="70" t="n">
        <f aca="false">1000000000*K10</f>
        <v>800</v>
      </c>
      <c r="K10" s="109" t="n">
        <v>8E-007</v>
      </c>
      <c r="L10" s="82" t="n">
        <v>1E-013</v>
      </c>
      <c r="M10" s="82" t="n">
        <f aca="false">L10*1000000000000</f>
        <v>0.1</v>
      </c>
      <c r="N10" s="107" t="s">
        <v>247</v>
      </c>
      <c r="O10" s="107"/>
      <c r="P10" s="107"/>
      <c r="Q10" s="107"/>
      <c r="R10" s="107" t="n">
        <v>0</v>
      </c>
      <c r="S10" s="107" t="s">
        <v>243</v>
      </c>
      <c r="T10" s="109" t="n">
        <f aca="false">A10/L10</f>
        <v>3130000000000</v>
      </c>
      <c r="U10" s="109" t="n">
        <f aca="false">I10*T10</f>
        <v>9390000000000</v>
      </c>
      <c r="V10" s="110" t="n">
        <f aca="false">I10*A10</f>
        <v>0.939</v>
      </c>
      <c r="W10" s="109" t="n">
        <f aca="false">AF10/K10</f>
        <v>0.775</v>
      </c>
      <c r="X10" s="109" t="n">
        <v>6.4E-007</v>
      </c>
      <c r="Y10" s="20" t="n">
        <v>8E-007</v>
      </c>
      <c r="Z10" s="70" t="n">
        <f aca="false">(X10+Y10)/2</f>
        <v>7.2E-007</v>
      </c>
      <c r="AA10" s="70" t="n">
        <f aca="false">(Y10-X10)/2</f>
        <v>8E-008</v>
      </c>
      <c r="AB10" s="111" t="n">
        <f aca="false">AA10/Z10</f>
        <v>0.111111111111111</v>
      </c>
      <c r="AC10" s="108" t="n">
        <v>7</v>
      </c>
      <c r="AD10" s="20" t="n">
        <v>4.19E-006</v>
      </c>
      <c r="AE10" s="20" t="n">
        <v>4.49E-006</v>
      </c>
      <c r="AF10" s="20" t="n">
        <f aca="false">(AE10+AD10)/(2*AC10)</f>
        <v>6.2E-007</v>
      </c>
      <c r="AG10" s="20" t="n">
        <f aca="false">(AE10-AD10)/(2*AC10)</f>
        <v>2.14285714285715E-008</v>
      </c>
      <c r="AH10" s="112" t="n">
        <f aca="false">AG10/AF10</f>
        <v>0.0345622119815669</v>
      </c>
      <c r="AI10" s="107" t="s">
        <v>248</v>
      </c>
      <c r="AJ10" s="107"/>
      <c r="AK10" s="107"/>
      <c r="AL10" s="107"/>
      <c r="AM10" s="19" t="s">
        <v>110</v>
      </c>
      <c r="AN10" s="107"/>
      <c r="AO10" s="113" t="n">
        <v>40245</v>
      </c>
      <c r="AP10" s="70" t="n">
        <f aca="false">D10/K10</f>
        <v>0.9</v>
      </c>
      <c r="AQ10" s="107"/>
      <c r="AR10" s="107"/>
      <c r="AS10" s="107"/>
      <c r="AT10" s="107"/>
      <c r="AU10" s="107"/>
      <c r="AV10" s="107"/>
      <c r="AW10" s="107"/>
      <c r="AX10" s="107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5" hidden="false" customHeight="true" outlineLevel="0" collapsed="false">
      <c r="A11" s="40" t="n">
        <v>0.5</v>
      </c>
      <c r="B11" s="70" t="n">
        <f aca="false">C11/J11</f>
        <v>0.990277777777778</v>
      </c>
      <c r="C11" s="19" t="n">
        <f aca="false">1000000000*D11</f>
        <v>792.222222222222</v>
      </c>
      <c r="D11" s="19" t="n">
        <v>7.92222222222222E-007</v>
      </c>
      <c r="E11" s="19" t="n">
        <v>8.88888888888885E-009</v>
      </c>
      <c r="F11" s="70" t="n">
        <f aca="false">E11/2</f>
        <v>4.44444444444443E-009</v>
      </c>
      <c r="G11" s="100" t="n">
        <f aca="false">E11/D11</f>
        <v>0.0112201963534361</v>
      </c>
      <c r="H11" s="100" t="n">
        <f aca="false">G11/2</f>
        <v>0.00561009817671807</v>
      </c>
      <c r="I11" s="19" t="n">
        <v>3</v>
      </c>
      <c r="J11" s="70" t="n">
        <f aca="false">1000000000*K11</f>
        <v>800</v>
      </c>
      <c r="K11" s="99" t="n">
        <v>8E-007</v>
      </c>
      <c r="L11" s="53" t="n">
        <v>1E-013</v>
      </c>
      <c r="M11" s="53" t="n">
        <f aca="false">L11*1000000000000</f>
        <v>0.1</v>
      </c>
      <c r="N11" s="19" t="s">
        <v>247</v>
      </c>
      <c r="O11" s="0"/>
      <c r="P11" s="0"/>
      <c r="Q11" s="0"/>
      <c r="R11" s="19" t="n">
        <v>0</v>
      </c>
      <c r="S11" s="19" t="s">
        <v>243</v>
      </c>
      <c r="T11" s="99" t="n">
        <f aca="false">A11/L11</f>
        <v>5000000000000</v>
      </c>
      <c r="U11" s="99" t="n">
        <f aca="false">I11*T11</f>
        <v>15000000000000</v>
      </c>
      <c r="V11" s="102" t="n">
        <f aca="false">I11*A11</f>
        <v>1.5</v>
      </c>
      <c r="W11" s="99" t="n">
        <f aca="false">AF11/K11</f>
        <v>0.990277777777778</v>
      </c>
      <c r="X11" s="0"/>
      <c r="Y11" s="0"/>
      <c r="Z11" s="0"/>
      <c r="AA11" s="0"/>
      <c r="AB11" s="0"/>
      <c r="AC11" s="19" t="n">
        <f aca="false">9</f>
        <v>9</v>
      </c>
      <c r="AD11" s="45" t="n">
        <v>7.05E-006</v>
      </c>
      <c r="AE11" s="45" t="n">
        <v>7.21E-006</v>
      </c>
      <c r="AF11" s="70" t="n">
        <f aca="false">(AE11+AD11)/(2*AC11)</f>
        <v>7.92222222222222E-007</v>
      </c>
      <c r="AG11" s="70" t="n">
        <f aca="false">(AE11-AD11)/(2*AC11)</f>
        <v>8.88888888888885E-009</v>
      </c>
      <c r="AH11" s="103" t="n">
        <f aca="false">AG11/AF11</f>
        <v>0.0112201963534361</v>
      </c>
      <c r="AI11" s="19" t="s">
        <v>249</v>
      </c>
      <c r="AJ11" s="19" t="s">
        <v>250</v>
      </c>
      <c r="AK11" s="0"/>
      <c r="AL11" s="0"/>
      <c r="AM11" s="98" t="s">
        <v>110</v>
      </c>
      <c r="AN11" s="0"/>
      <c r="AO11" s="104" t="n">
        <v>40330</v>
      </c>
      <c r="AP11" s="70" t="n">
        <f aca="false">D11/K11</f>
        <v>0.990277777777778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5" hidden="false" customHeight="true" outlineLevel="0" collapsed="false">
      <c r="A12" s="40" t="n">
        <v>0.5</v>
      </c>
      <c r="B12" s="70" t="n">
        <f aca="false">C12/J12</f>
        <v>1.0125</v>
      </c>
      <c r="C12" s="19" t="n">
        <f aca="false">1000000000*D12</f>
        <v>810</v>
      </c>
      <c r="D12" s="19" t="n">
        <v>8.1E-007</v>
      </c>
      <c r="E12" s="19" t="n">
        <v>3.5E-008</v>
      </c>
      <c r="F12" s="70" t="n">
        <f aca="false">E12/2</f>
        <v>1.75E-008</v>
      </c>
      <c r="G12" s="100" t="n">
        <f aca="false">E12/D12</f>
        <v>0.0432098765432099</v>
      </c>
      <c r="H12" s="100" t="n">
        <f aca="false">G12/2</f>
        <v>0.0216049382716049</v>
      </c>
      <c r="I12" s="64" t="n">
        <v>3</v>
      </c>
      <c r="J12" s="70" t="n">
        <f aca="false">1000000000*K12</f>
        <v>800</v>
      </c>
      <c r="K12" s="99" t="n">
        <v>8E-007</v>
      </c>
      <c r="L12" s="53" t="n">
        <v>1E-013</v>
      </c>
      <c r="M12" s="53" t="n">
        <f aca="false">L12*1000000000000</f>
        <v>0.1</v>
      </c>
      <c r="N12" s="19" t="s">
        <v>116</v>
      </c>
      <c r="O12" s="0"/>
      <c r="P12" s="0"/>
      <c r="Q12" s="0"/>
      <c r="R12" s="19" t="n">
        <v>0</v>
      </c>
      <c r="S12" s="19" t="s">
        <v>243</v>
      </c>
      <c r="T12" s="99" t="n">
        <f aca="false">A12/L12</f>
        <v>5000000000000</v>
      </c>
      <c r="U12" s="99" t="n">
        <f aca="false">I12*T12</f>
        <v>15000000000000</v>
      </c>
      <c r="V12" s="102" t="n">
        <f aca="false">I12*A12</f>
        <v>1.5</v>
      </c>
      <c r="W12" s="99" t="n">
        <f aca="false">AF12/K12</f>
        <v>1.0125</v>
      </c>
      <c r="X12" s="0"/>
      <c r="Y12" s="0"/>
      <c r="Z12" s="0"/>
      <c r="AA12" s="0"/>
      <c r="AB12" s="0"/>
      <c r="AC12" s="19" t="n">
        <v>8</v>
      </c>
      <c r="AD12" s="45" t="n">
        <v>6.2E-006</v>
      </c>
      <c r="AE12" s="45" t="n">
        <v>6.76E-006</v>
      </c>
      <c r="AF12" s="70" t="n">
        <f aca="false">(AE12+AD12)/(2*AC12)</f>
        <v>8.1E-007</v>
      </c>
      <c r="AG12" s="70" t="n">
        <f aca="false">(AE12-AD12)/(2*AC12)</f>
        <v>3.5E-008</v>
      </c>
      <c r="AH12" s="103" t="n">
        <f aca="false">AG12/AF12</f>
        <v>0.0432098765432099</v>
      </c>
      <c r="AI12" s="105" t="s">
        <v>246</v>
      </c>
      <c r="AJ12" s="0"/>
      <c r="AK12" s="0"/>
      <c r="AL12" s="0"/>
      <c r="AM12" s="19" t="s">
        <v>110</v>
      </c>
      <c r="AN12" s="0"/>
      <c r="AO12" s="104" t="n">
        <v>40389</v>
      </c>
      <c r="AP12" s="70" t="n">
        <f aca="false">D12/K12</f>
        <v>1.0125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5" hidden="false" customHeight="true" outlineLevel="0" collapsed="false">
      <c r="A13" s="40" t="n">
        <v>0.5</v>
      </c>
      <c r="B13" s="70" t="n">
        <f aca="false">C13/J13</f>
        <v>1.001875</v>
      </c>
      <c r="C13" s="19" t="n">
        <f aca="false">1000000000*D13</f>
        <v>801.5</v>
      </c>
      <c r="D13" s="19" t="n">
        <v>8.015E-007</v>
      </c>
      <c r="E13" s="19" t="n">
        <v>1E-008</v>
      </c>
      <c r="F13" s="70" t="n">
        <f aca="false">E13/2</f>
        <v>5E-009</v>
      </c>
      <c r="G13" s="100" t="n">
        <f aca="false">E13/D13</f>
        <v>0.0124766063630692</v>
      </c>
      <c r="H13" s="100" t="n">
        <f aca="false">G13/2</f>
        <v>0.00623830318153462</v>
      </c>
      <c r="I13" s="64" t="n">
        <v>3</v>
      </c>
      <c r="J13" s="70" t="n">
        <f aca="false">1000000000*K13</f>
        <v>800</v>
      </c>
      <c r="K13" s="99" t="n">
        <v>8E-007</v>
      </c>
      <c r="L13" s="53" t="n">
        <v>1E-013</v>
      </c>
      <c r="M13" s="64" t="n">
        <f aca="false">L13*1000000000000</f>
        <v>0.1</v>
      </c>
      <c r="N13" s="19" t="s">
        <v>247</v>
      </c>
      <c r="O13" s="0"/>
      <c r="P13" s="0"/>
      <c r="Q13" s="0"/>
      <c r="R13" s="19" t="n">
        <v>0</v>
      </c>
      <c r="S13" s="19" t="s">
        <v>243</v>
      </c>
      <c r="T13" s="40" t="n">
        <f aca="false">A13/L13</f>
        <v>5000000000000</v>
      </c>
      <c r="U13" s="40" t="n">
        <f aca="false">I13*T13</f>
        <v>15000000000000</v>
      </c>
      <c r="V13" s="40" t="n">
        <f aca="false">I13*A13</f>
        <v>1.5</v>
      </c>
      <c r="W13" s="99" t="n">
        <f aca="false">AF13/K13</f>
        <v>1.001875</v>
      </c>
      <c r="X13" s="40"/>
      <c r="Y13" s="19"/>
      <c r="Z13" s="70"/>
      <c r="AA13" s="70"/>
      <c r="AB13" s="111"/>
      <c r="AC13" s="64" t="n">
        <v>20</v>
      </c>
      <c r="AD13" s="45" t="n">
        <v>1.583E-005</v>
      </c>
      <c r="AE13" s="45" t="n">
        <v>1.623E-005</v>
      </c>
      <c r="AF13" s="70" t="n">
        <f aca="false">(AE13+AD13)/(2*AC13)</f>
        <v>8.015E-007</v>
      </c>
      <c r="AG13" s="70" t="n">
        <f aca="false">(AE13-AD13)/(2*AC13)</f>
        <v>1E-008</v>
      </c>
      <c r="AH13" s="103" t="n">
        <f aca="false">AG13/AF13</f>
        <v>0.0124766063630692</v>
      </c>
      <c r="AI13" s="19" t="s">
        <v>251</v>
      </c>
      <c r="AJ13" s="0"/>
      <c r="AK13" s="0"/>
      <c r="AL13" s="0"/>
      <c r="AM13" s="19" t="s">
        <v>110</v>
      </c>
      <c r="AN13" s="0"/>
      <c r="AO13" s="40" t="s">
        <v>252</v>
      </c>
      <c r="AP13" s="70" t="n">
        <f aca="false">D13/K13</f>
        <v>1.001875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s="115" customFormat="true" ht="15" hidden="false" customHeight="true" outlineLevel="0" collapsed="false">
      <c r="A14" s="114" t="n">
        <v>0.8</v>
      </c>
      <c r="B14" s="70" t="n">
        <f aca="false">C14/J14</f>
        <v>0.938888888888889</v>
      </c>
      <c r="C14" s="19" t="n">
        <f aca="false">1000000000*D14</f>
        <v>751.111111111111</v>
      </c>
      <c r="D14" s="115" t="n">
        <v>7.51111111111111E-007</v>
      </c>
      <c r="E14" s="115" t="n">
        <v>1.88888888888889E-008</v>
      </c>
      <c r="F14" s="70" t="n">
        <f aca="false">E14/2</f>
        <v>9.44444444444445E-009</v>
      </c>
      <c r="G14" s="100" t="n">
        <f aca="false">E14/D14</f>
        <v>0.0251479289940828</v>
      </c>
      <c r="H14" s="100" t="n">
        <f aca="false">G14/2</f>
        <v>0.0125739644970414</v>
      </c>
      <c r="I14" s="116" t="n">
        <v>3</v>
      </c>
      <c r="J14" s="70" t="n">
        <f aca="false">1000000000*K14</f>
        <v>800</v>
      </c>
      <c r="K14" s="117" t="n">
        <v>8E-007</v>
      </c>
      <c r="L14" s="118" t="n">
        <v>1E-013</v>
      </c>
      <c r="M14" s="118" t="n">
        <f aca="false">L14*1000000000000</f>
        <v>0.1</v>
      </c>
      <c r="N14" s="115" t="s">
        <v>116</v>
      </c>
      <c r="R14" s="115" t="n">
        <v>0</v>
      </c>
      <c r="S14" s="115" t="s">
        <v>243</v>
      </c>
      <c r="T14" s="117" t="n">
        <f aca="false">A14/L14</f>
        <v>8000000000000</v>
      </c>
      <c r="U14" s="117" t="n">
        <f aca="false">I14*T14</f>
        <v>24000000000000</v>
      </c>
      <c r="V14" s="119" t="n">
        <f aca="false">I14*A14</f>
        <v>2.4</v>
      </c>
      <c r="W14" s="117" t="n">
        <f aca="false">AF14/K14</f>
        <v>0.938888888888889</v>
      </c>
      <c r="X14" s="120"/>
      <c r="Y14" s="121"/>
      <c r="AB14" s="122"/>
      <c r="AC14" s="115" t="n">
        <v>9</v>
      </c>
      <c r="AD14" s="123" t="n">
        <v>6.59E-006</v>
      </c>
      <c r="AE14" s="123" t="n">
        <v>6.93E-006</v>
      </c>
      <c r="AF14" s="124" t="n">
        <f aca="false">(AE14+AD14)/(2*AC14)</f>
        <v>7.51111111111111E-007</v>
      </c>
      <c r="AG14" s="124" t="n">
        <f aca="false">(AE14-AD14)/(2*AC14)</f>
        <v>1.88888888888889E-008</v>
      </c>
      <c r="AH14" s="125" t="n">
        <f aca="false">AG14/AF14</f>
        <v>0.0251479289940828</v>
      </c>
      <c r="AI14" s="126" t="s">
        <v>246</v>
      </c>
      <c r="AM14" s="19" t="s">
        <v>110</v>
      </c>
      <c r="AO14" s="127" t="n">
        <v>40389</v>
      </c>
      <c r="AP14" s="70" t="n">
        <f aca="false">D14/K14</f>
        <v>0.938888888888889</v>
      </c>
    </row>
    <row r="15" s="98" customFormat="true" ht="15" hidden="false" customHeight="true" outlineLevel="0" collapsed="false">
      <c r="A15" s="128" t="n">
        <v>0.8</v>
      </c>
      <c r="B15" s="70" t="n">
        <f aca="false">C15/J15</f>
        <v>0.8796875</v>
      </c>
      <c r="C15" s="19" t="n">
        <f aca="false">1000000000*D15</f>
        <v>703.75</v>
      </c>
      <c r="D15" s="98" t="n">
        <v>7.0375E-007</v>
      </c>
      <c r="E15" s="98" t="n">
        <v>5.125E-008</v>
      </c>
      <c r="F15" s="70" t="n">
        <f aca="false">E15/2</f>
        <v>2.5625E-008</v>
      </c>
      <c r="G15" s="100" t="n">
        <f aca="false">E15/D15</f>
        <v>0.0728241563055062</v>
      </c>
      <c r="H15" s="100" t="n">
        <f aca="false">G15/2</f>
        <v>0.0364120781527531</v>
      </c>
      <c r="I15" s="98" t="n">
        <v>3</v>
      </c>
      <c r="J15" s="70" t="n">
        <f aca="false">1000000000*K15</f>
        <v>800</v>
      </c>
      <c r="K15" s="129" t="n">
        <v>8E-007</v>
      </c>
      <c r="L15" s="130" t="n">
        <v>1E-013</v>
      </c>
      <c r="M15" s="130" t="n">
        <f aca="false">L15*1000000000000</f>
        <v>0.1</v>
      </c>
      <c r="N15" s="98" t="s">
        <v>116</v>
      </c>
      <c r="O15" s="98" t="s">
        <v>242</v>
      </c>
      <c r="P15" s="131" t="n">
        <v>4.57E-006</v>
      </c>
      <c r="Q15" s="132" t="n">
        <f aca="false">P15*1000000</f>
        <v>4.57</v>
      </c>
      <c r="R15" s="98" t="n">
        <v>0</v>
      </c>
      <c r="S15" s="98" t="s">
        <v>243</v>
      </c>
      <c r="T15" s="129" t="n">
        <f aca="false">A15/L15</f>
        <v>8000000000000</v>
      </c>
      <c r="U15" s="129" t="n">
        <f aca="false">I15*T15</f>
        <v>24000000000000</v>
      </c>
      <c r="V15" s="133" t="n">
        <f aca="false">I15*A15</f>
        <v>2.4</v>
      </c>
      <c r="W15" s="128" t="n">
        <f aca="false">AF15/K15</f>
        <v>0.8796875</v>
      </c>
      <c r="X15" s="134"/>
      <c r="Y15" s="135"/>
      <c r="AB15" s="136"/>
      <c r="AC15" s="98" t="n">
        <v>4</v>
      </c>
      <c r="AD15" s="137" t="n">
        <v>2.61E-006</v>
      </c>
      <c r="AE15" s="137" t="n">
        <v>3.02E-006</v>
      </c>
      <c r="AF15" s="131" t="n">
        <f aca="false">(AE15+AD15)/(2*AC15)</f>
        <v>7.0375E-007</v>
      </c>
      <c r="AG15" s="131" t="n">
        <f aca="false">(AE15-AD15)/(2*AC15)</f>
        <v>5.125E-008</v>
      </c>
      <c r="AH15" s="138" t="n">
        <f aca="false">AG15/AF15</f>
        <v>0.0728241563055063</v>
      </c>
      <c r="AI15" s="98" t="s">
        <v>253</v>
      </c>
      <c r="AJ15" s="98" t="s">
        <v>254</v>
      </c>
      <c r="AM15" s="98" t="s">
        <v>110</v>
      </c>
      <c r="AN15" s="98" t="s">
        <v>123</v>
      </c>
      <c r="AO15" s="139" t="n">
        <v>40358</v>
      </c>
      <c r="AP15" s="70" t="n">
        <f aca="false">D15/K15</f>
        <v>0.8796875</v>
      </c>
    </row>
    <row r="16" customFormat="false" ht="15" hidden="false" customHeight="true" outlineLevel="0" collapsed="false">
      <c r="A16" s="40" t="n">
        <v>0.8</v>
      </c>
      <c r="B16" s="70" t="n">
        <f aca="false">C16/J16</f>
        <v>1.06041666666667</v>
      </c>
      <c r="C16" s="19" t="n">
        <f aca="false">1000000000*D16</f>
        <v>848.333333333333</v>
      </c>
      <c r="D16" s="19" t="n">
        <v>8.48333333333333E-007</v>
      </c>
      <c r="E16" s="19" t="n">
        <v>3.16666666666667E-008</v>
      </c>
      <c r="F16" s="70" t="n">
        <f aca="false">E16/2</f>
        <v>1.58333333333334E-008</v>
      </c>
      <c r="G16" s="100" t="n">
        <f aca="false">E16/D16</f>
        <v>0.0373280943025541</v>
      </c>
      <c r="H16" s="100" t="n">
        <f aca="false">G16/2</f>
        <v>0.018664047151277</v>
      </c>
      <c r="I16" s="19" t="n">
        <v>3</v>
      </c>
      <c r="J16" s="70" t="n">
        <f aca="false">1000000000*K16</f>
        <v>800</v>
      </c>
      <c r="K16" s="99" t="n">
        <v>8E-007</v>
      </c>
      <c r="L16" s="53" t="n">
        <v>1E-013</v>
      </c>
      <c r="M16" s="53" t="n">
        <f aca="false">L16*1000000000000</f>
        <v>0.1</v>
      </c>
      <c r="N16" s="19" t="s">
        <v>116</v>
      </c>
      <c r="O16" s="19" t="s">
        <v>242</v>
      </c>
      <c r="P16" s="70" t="n">
        <v>6.12E-006</v>
      </c>
      <c r="Q16" s="101" t="n">
        <f aca="false">P16*1000000</f>
        <v>6.12</v>
      </c>
      <c r="R16" s="19" t="n">
        <v>0</v>
      </c>
      <c r="S16" s="19" t="s">
        <v>243</v>
      </c>
      <c r="T16" s="99" t="n">
        <f aca="false">A16/L16</f>
        <v>8000000000000</v>
      </c>
      <c r="U16" s="99" t="n">
        <f aca="false">I16*T16</f>
        <v>24000000000000</v>
      </c>
      <c r="V16" s="102" t="n">
        <f aca="false">I16*A16</f>
        <v>2.4</v>
      </c>
      <c r="W16" s="40" t="n">
        <f aca="false">AF16/K16</f>
        <v>1.06041666666667</v>
      </c>
      <c r="X16" s="0"/>
      <c r="Y16" s="0"/>
      <c r="Z16" s="0"/>
      <c r="AA16" s="0"/>
      <c r="AB16" s="0"/>
      <c r="AC16" s="19" t="n">
        <v>6</v>
      </c>
      <c r="AD16" s="45" t="n">
        <v>4.9E-006</v>
      </c>
      <c r="AE16" s="45" t="n">
        <v>5.28E-006</v>
      </c>
      <c r="AF16" s="70" t="n">
        <f aca="false">(AE16+AD16)/(2*AC16)</f>
        <v>8.48333333333333E-007</v>
      </c>
      <c r="AG16" s="70" t="n">
        <f aca="false">(AE16-AD16)/(2*AC16)</f>
        <v>3.16666666666668E-008</v>
      </c>
      <c r="AH16" s="103" t="n">
        <f aca="false">AG16/AF16</f>
        <v>0.0373280943025542</v>
      </c>
      <c r="AI16" s="19" t="s">
        <v>253</v>
      </c>
      <c r="AJ16" s="19" t="s">
        <v>254</v>
      </c>
      <c r="AK16" s="0"/>
      <c r="AL16" s="0"/>
      <c r="AM16" s="19" t="s">
        <v>110</v>
      </c>
      <c r="AN16" s="19" t="s">
        <v>123</v>
      </c>
      <c r="AO16" s="104" t="n">
        <v>40358</v>
      </c>
      <c r="AP16" s="70" t="n">
        <f aca="false">D16/K16</f>
        <v>1.06041666666667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5" hidden="false" customHeight="true" outlineLevel="0" collapsed="false">
      <c r="A17" s="40" t="n">
        <v>0.8</v>
      </c>
      <c r="B17" s="70" t="n">
        <f aca="false">C17/J17</f>
        <v>0.915</v>
      </c>
      <c r="C17" s="19" t="n">
        <f aca="false">1000000000*D17</f>
        <v>732</v>
      </c>
      <c r="D17" s="19" t="n">
        <v>7.32E-007</v>
      </c>
      <c r="E17" s="19" t="n">
        <v>4.8E-008</v>
      </c>
      <c r="F17" s="70" t="n">
        <f aca="false">E17/2</f>
        <v>2.4E-008</v>
      </c>
      <c r="G17" s="100" t="n">
        <f aca="false">E17/D17</f>
        <v>0.0655737704918033</v>
      </c>
      <c r="H17" s="100" t="n">
        <f aca="false">G17/2</f>
        <v>0.0327868852459016</v>
      </c>
      <c r="I17" s="19" t="n">
        <v>3</v>
      </c>
      <c r="J17" s="70" t="n">
        <f aca="false">1000000000*K17</f>
        <v>800</v>
      </c>
      <c r="K17" s="99" t="n">
        <v>8E-007</v>
      </c>
      <c r="L17" s="53" t="n">
        <v>1E-013</v>
      </c>
      <c r="M17" s="53" t="n">
        <f aca="false">L17*1000000000000</f>
        <v>0.1</v>
      </c>
      <c r="N17" s="19" t="s">
        <v>116</v>
      </c>
      <c r="O17" s="19" t="s">
        <v>242</v>
      </c>
      <c r="P17" s="70" t="n">
        <v>5.32E-006</v>
      </c>
      <c r="Q17" s="101" t="n">
        <f aca="false">P17*1000000</f>
        <v>5.32</v>
      </c>
      <c r="R17" s="19" t="n">
        <v>0</v>
      </c>
      <c r="S17" s="19" t="s">
        <v>243</v>
      </c>
      <c r="T17" s="99" t="n">
        <f aca="false">A17/L17</f>
        <v>8000000000000</v>
      </c>
      <c r="U17" s="99" t="n">
        <f aca="false">I17*T17</f>
        <v>24000000000000</v>
      </c>
      <c r="V17" s="102" t="n">
        <f aca="false">I17*A17</f>
        <v>2.4</v>
      </c>
      <c r="W17" s="40" t="n">
        <f aca="false">AF17/K17</f>
        <v>0.915</v>
      </c>
      <c r="X17" s="0"/>
      <c r="Y17" s="0"/>
      <c r="Z17" s="0"/>
      <c r="AA17" s="0"/>
      <c r="AB17" s="0"/>
      <c r="AC17" s="19" t="n">
        <v>5</v>
      </c>
      <c r="AD17" s="45" t="n">
        <v>3.42E-006</v>
      </c>
      <c r="AE17" s="45" t="n">
        <v>3.9E-006</v>
      </c>
      <c r="AF17" s="70" t="n">
        <f aca="false">(AE17+AD17)/(2*AC17)</f>
        <v>7.32E-007</v>
      </c>
      <c r="AG17" s="70" t="n">
        <f aca="false">(AE17-AD17)/(2*AC17)</f>
        <v>4.8E-008</v>
      </c>
      <c r="AH17" s="103" t="n">
        <f aca="false">AG17/AF17</f>
        <v>0.0655737704918033</v>
      </c>
      <c r="AI17" s="19" t="s">
        <v>253</v>
      </c>
      <c r="AJ17" s="19" t="s">
        <v>254</v>
      </c>
      <c r="AK17" s="0"/>
      <c r="AL17" s="0"/>
      <c r="AM17" s="19" t="s">
        <v>110</v>
      </c>
      <c r="AN17" s="19" t="s">
        <v>123</v>
      </c>
      <c r="AO17" s="104" t="n">
        <v>40358</v>
      </c>
      <c r="AP17" s="70" t="n">
        <f aca="false">D17/K17</f>
        <v>0.915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5" hidden="false" customHeight="true" outlineLevel="0" collapsed="false">
      <c r="A18" s="40" t="n">
        <v>0.8</v>
      </c>
      <c r="B18" s="70" t="n">
        <f aca="false">C18/J18</f>
        <v>0.883333333333333</v>
      </c>
      <c r="C18" s="19" t="n">
        <f aca="false">1000000000*D18</f>
        <v>706.666666666667</v>
      </c>
      <c r="D18" s="19" t="n">
        <v>7.06666666666667E-007</v>
      </c>
      <c r="E18" s="19" t="n">
        <v>2.41666666666667E-008</v>
      </c>
      <c r="F18" s="70" t="n">
        <f aca="false">E18/2</f>
        <v>1.20833333333334E-008</v>
      </c>
      <c r="G18" s="100" t="n">
        <f aca="false">E18/D18</f>
        <v>0.0341981132075472</v>
      </c>
      <c r="H18" s="100" t="n">
        <f aca="false">G18/2</f>
        <v>0.0170990566037736</v>
      </c>
      <c r="I18" s="19" t="n">
        <v>3</v>
      </c>
      <c r="J18" s="70" t="n">
        <f aca="false">1000000000*K18</f>
        <v>800</v>
      </c>
      <c r="K18" s="99" t="n">
        <v>8E-007</v>
      </c>
      <c r="L18" s="53" t="n">
        <v>1E-013</v>
      </c>
      <c r="M18" s="53" t="n">
        <f aca="false">L18*1000000000000</f>
        <v>0.1</v>
      </c>
      <c r="N18" s="19" t="s">
        <v>116</v>
      </c>
      <c r="O18" s="19" t="s">
        <v>242</v>
      </c>
      <c r="P18" s="70" t="n">
        <v>1.484E-005</v>
      </c>
      <c r="Q18" s="101" t="n">
        <f aca="false">P18*1000000</f>
        <v>14.84</v>
      </c>
      <c r="R18" s="19" t="n">
        <v>0</v>
      </c>
      <c r="S18" s="19" t="s">
        <v>243</v>
      </c>
      <c r="T18" s="99" t="n">
        <f aca="false">A18/L18</f>
        <v>8000000000000</v>
      </c>
      <c r="U18" s="99" t="n">
        <f aca="false">I18*T18</f>
        <v>24000000000000</v>
      </c>
      <c r="V18" s="102" t="n">
        <f aca="false">I18*A18</f>
        <v>2.4</v>
      </c>
      <c r="W18" s="40" t="n">
        <f aca="false">AF18/K18</f>
        <v>0.883333333333333</v>
      </c>
      <c r="X18" s="0"/>
      <c r="Y18" s="0"/>
      <c r="Z18" s="0"/>
      <c r="AA18" s="0"/>
      <c r="AB18" s="0"/>
      <c r="AC18" s="19" t="n">
        <v>12</v>
      </c>
      <c r="AD18" s="45" t="n">
        <v>8.19E-006</v>
      </c>
      <c r="AE18" s="45" t="n">
        <v>8.77E-006</v>
      </c>
      <c r="AF18" s="70" t="n">
        <f aca="false">(AE18+AD18)/(2*AC18)</f>
        <v>7.06666666666667E-007</v>
      </c>
      <c r="AG18" s="70" t="n">
        <f aca="false">(AE18-AD18)/(2*AC18)</f>
        <v>2.41666666666667E-008</v>
      </c>
      <c r="AH18" s="103" t="n">
        <f aca="false">AG18/AF18</f>
        <v>0.0341981132075472</v>
      </c>
      <c r="AI18" s="19" t="s">
        <v>253</v>
      </c>
      <c r="AJ18" s="19" t="s">
        <v>254</v>
      </c>
      <c r="AK18" s="0"/>
      <c r="AL18" s="0"/>
      <c r="AM18" s="19" t="s">
        <v>110</v>
      </c>
      <c r="AN18" s="19" t="s">
        <v>123</v>
      </c>
      <c r="AO18" s="104" t="n">
        <v>40358</v>
      </c>
      <c r="AP18" s="70" t="n">
        <f aca="false">D18/K18</f>
        <v>0.883333333333333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5" hidden="false" customHeight="true" outlineLevel="0" collapsed="false">
      <c r="A19" s="40" t="n">
        <v>0.85</v>
      </c>
      <c r="B19" s="70" t="n">
        <f aca="false">C19/J19</f>
        <v>0.98125</v>
      </c>
      <c r="C19" s="19" t="n">
        <f aca="false">1000000000*D19</f>
        <v>785</v>
      </c>
      <c r="D19" s="19" t="n">
        <v>7.85E-007</v>
      </c>
      <c r="E19" s="19" t="n">
        <v>7.3076923076923E-009</v>
      </c>
      <c r="F19" s="70" t="n">
        <f aca="false">E19/2</f>
        <v>3.65384615384615E-009</v>
      </c>
      <c r="G19" s="100" t="n">
        <f aca="false">E19/D19</f>
        <v>0.00930916217540421</v>
      </c>
      <c r="H19" s="100" t="n">
        <f aca="false">G19/2</f>
        <v>0.0046545810877021</v>
      </c>
      <c r="I19" s="64" t="n">
        <v>3</v>
      </c>
      <c r="J19" s="70" t="n">
        <f aca="false">1000000000*K19</f>
        <v>800</v>
      </c>
      <c r="K19" s="99" t="n">
        <v>8E-007</v>
      </c>
      <c r="L19" s="53" t="n">
        <v>1E-013</v>
      </c>
      <c r="M19" s="53" t="n">
        <f aca="false">L19*1000000000000</f>
        <v>0.1</v>
      </c>
      <c r="N19" s="19" t="s">
        <v>247</v>
      </c>
      <c r="O19" s="0"/>
      <c r="P19" s="0"/>
      <c r="Q19" s="70"/>
      <c r="R19" s="19" t="n">
        <v>0</v>
      </c>
      <c r="S19" s="19" t="s">
        <v>243</v>
      </c>
      <c r="T19" s="99" t="n">
        <f aca="false">A19/L19</f>
        <v>8500000000000</v>
      </c>
      <c r="U19" s="99" t="n">
        <f aca="false">I19*T19</f>
        <v>25500000000000</v>
      </c>
      <c r="V19" s="102" t="n">
        <f aca="false">I19*A19</f>
        <v>2.55</v>
      </c>
      <c r="W19" s="99" t="n">
        <f aca="false">AF19/K19</f>
        <v>0.98125</v>
      </c>
      <c r="X19" s="44" t="n">
        <v>7.1E-007</v>
      </c>
      <c r="Y19" s="45" t="n">
        <v>8.2E-007</v>
      </c>
      <c r="Z19" s="70" t="n">
        <f aca="false">(X19+Y19)/2</f>
        <v>7.65E-007</v>
      </c>
      <c r="AA19" s="70" t="n">
        <f aca="false">(Y19-X19)/2</f>
        <v>5.5E-008</v>
      </c>
      <c r="AB19" s="111" t="n">
        <f aca="false">AA19/Z19</f>
        <v>0.0718954248366013</v>
      </c>
      <c r="AC19" s="64" t="n">
        <v>13</v>
      </c>
      <c r="AD19" s="45" t="n">
        <v>1.011E-005</v>
      </c>
      <c r="AE19" s="45" t="n">
        <v>1.03E-005</v>
      </c>
      <c r="AF19" s="70" t="n">
        <f aca="false">(AE19+AD19)/(2*AC19)</f>
        <v>7.85E-007</v>
      </c>
      <c r="AG19" s="70" t="n">
        <f aca="false">(AE19-AD19)/(2*AC19)</f>
        <v>7.30769230769237E-009</v>
      </c>
      <c r="AH19" s="103" t="n">
        <f aca="false">AG19/AF19</f>
        <v>0.00930916217540429</v>
      </c>
      <c r="AI19" s="19" t="s">
        <v>255</v>
      </c>
      <c r="AJ19" s="0"/>
      <c r="AK19" s="0"/>
      <c r="AL19" s="0"/>
      <c r="AM19" s="98" t="s">
        <v>110</v>
      </c>
      <c r="AN19" s="0"/>
      <c r="AO19" s="104" t="n">
        <v>40245</v>
      </c>
      <c r="AP19" s="70" t="n">
        <f aca="false">D19/K19</f>
        <v>0.98125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5" hidden="false" customHeight="true" outlineLevel="0" collapsed="false">
      <c r="A20" s="40" t="n">
        <v>0.1</v>
      </c>
      <c r="B20" s="70" t="n">
        <f aca="false">C20/J20</f>
        <v>0.9171875</v>
      </c>
      <c r="C20" s="19" t="n">
        <f aca="false">1000000000*D20</f>
        <v>733.75</v>
      </c>
      <c r="D20" s="19" t="n">
        <v>7.3375E-007</v>
      </c>
      <c r="E20" s="19" t="n">
        <v>3.5E-008</v>
      </c>
      <c r="F20" s="70" t="n">
        <f aca="false">E20/2</f>
        <v>1.75E-008</v>
      </c>
      <c r="G20" s="100" t="n">
        <f aca="false">E20/D20</f>
        <v>0.0477001703577513</v>
      </c>
      <c r="H20" s="100" t="n">
        <f aca="false">G20/2</f>
        <v>0.0238500851788757</v>
      </c>
      <c r="I20" s="64" t="n">
        <v>4</v>
      </c>
      <c r="J20" s="70" t="n">
        <f aca="false">1000000000*K20</f>
        <v>800</v>
      </c>
      <c r="K20" s="99" t="n">
        <v>8E-007</v>
      </c>
      <c r="L20" s="53" t="n">
        <v>1E-013</v>
      </c>
      <c r="M20" s="53" t="n">
        <f aca="false">L20*1000000000000</f>
        <v>0.1</v>
      </c>
      <c r="N20" s="19" t="s">
        <v>116</v>
      </c>
      <c r="O20" s="0"/>
      <c r="P20" s="0"/>
      <c r="Q20" s="0"/>
      <c r="R20" s="19" t="n">
        <v>0</v>
      </c>
      <c r="S20" s="19" t="s">
        <v>243</v>
      </c>
      <c r="T20" s="99" t="n">
        <f aca="false">A20/L20</f>
        <v>1000000000000</v>
      </c>
      <c r="U20" s="99" t="n">
        <f aca="false">I20*T20</f>
        <v>4000000000000</v>
      </c>
      <c r="V20" s="102" t="n">
        <f aca="false">I20*A20</f>
        <v>0.4</v>
      </c>
      <c r="W20" s="99" t="n">
        <f aca="false">AF20/K20</f>
        <v>0.9171875</v>
      </c>
      <c r="X20" s="0"/>
      <c r="Y20" s="0"/>
      <c r="Z20" s="0"/>
      <c r="AA20" s="0"/>
      <c r="AB20" s="0"/>
      <c r="AC20" s="19" t="n">
        <v>8</v>
      </c>
      <c r="AD20" s="45" t="n">
        <v>5.59E-006</v>
      </c>
      <c r="AE20" s="45" t="n">
        <v>6.15E-006</v>
      </c>
      <c r="AF20" s="70" t="n">
        <f aca="false">(AE20+AD20)/(2*AC20)</f>
        <v>7.3375E-007</v>
      </c>
      <c r="AG20" s="70" t="n">
        <f aca="false">(AE20-AD20)/(2*AC20)</f>
        <v>3.5E-008</v>
      </c>
      <c r="AH20" s="103" t="n">
        <f aca="false">AG20/AF20</f>
        <v>0.0477001703577513</v>
      </c>
      <c r="AI20" s="105" t="s">
        <v>246</v>
      </c>
      <c r="AJ20" s="0"/>
      <c r="AK20" s="0"/>
      <c r="AL20" s="0"/>
      <c r="AM20" s="19" t="s">
        <v>110</v>
      </c>
      <c r="AN20" s="0"/>
      <c r="AO20" s="104" t="n">
        <v>40389</v>
      </c>
      <c r="AP20" s="70" t="n">
        <f aca="false">D20/K20</f>
        <v>0.9171875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5" hidden="false" customHeight="true" outlineLevel="0" collapsed="false">
      <c r="A21" s="40" t="n">
        <v>0.2</v>
      </c>
      <c r="B21" s="70" t="n">
        <f aca="false">C21/J21</f>
        <v>0.9375</v>
      </c>
      <c r="C21" s="19" t="n">
        <f aca="false">1000000000*D21</f>
        <v>750</v>
      </c>
      <c r="D21" s="19" t="n">
        <v>7.5E-007</v>
      </c>
      <c r="E21" s="19" t="n">
        <v>1.8E-008</v>
      </c>
      <c r="F21" s="70" t="n">
        <f aca="false">E21/2</f>
        <v>8.99999999999998E-009</v>
      </c>
      <c r="G21" s="100" t="n">
        <f aca="false">E21/D21</f>
        <v>0.0239999999999999</v>
      </c>
      <c r="H21" s="100" t="n">
        <f aca="false">G21/2</f>
        <v>0.012</v>
      </c>
      <c r="I21" s="19" t="n">
        <v>4</v>
      </c>
      <c r="J21" s="70" t="n">
        <f aca="false">1000000000*K21</f>
        <v>800</v>
      </c>
      <c r="K21" s="99" t="n">
        <v>8E-007</v>
      </c>
      <c r="L21" s="53" t="n">
        <v>1E-013</v>
      </c>
      <c r="M21" s="53" t="n">
        <f aca="false">L21*1000000000000</f>
        <v>0.1</v>
      </c>
      <c r="N21" s="19" t="s">
        <v>247</v>
      </c>
      <c r="O21" s="0"/>
      <c r="P21" s="0"/>
      <c r="Q21" s="0"/>
      <c r="R21" s="19" t="n">
        <v>0</v>
      </c>
      <c r="S21" s="19" t="s">
        <v>243</v>
      </c>
      <c r="T21" s="99" t="n">
        <f aca="false">A21/L21</f>
        <v>2000000000000</v>
      </c>
      <c r="U21" s="99" t="n">
        <f aca="false">I21*T21</f>
        <v>8000000000000</v>
      </c>
      <c r="V21" s="102" t="n">
        <f aca="false">I21*A21</f>
        <v>0.8</v>
      </c>
      <c r="W21" s="99" t="n">
        <f aca="false">AF21/K21</f>
        <v>0.9375</v>
      </c>
      <c r="X21" s="44" t="n">
        <v>6.5E-007</v>
      </c>
      <c r="Y21" s="45" t="n">
        <v>8.6E-007</v>
      </c>
      <c r="Z21" s="70" t="n">
        <f aca="false">(X21+Y21)/2</f>
        <v>7.55E-007</v>
      </c>
      <c r="AA21" s="70" t="n">
        <f aca="false">(Y21-X21)/2</f>
        <v>1.05E-007</v>
      </c>
      <c r="AB21" s="111" t="n">
        <f aca="false">AA21/Z21</f>
        <v>0.139072847682119</v>
      </c>
      <c r="AC21" s="19" t="n">
        <v>5</v>
      </c>
      <c r="AD21" s="45" t="n">
        <v>3.66E-006</v>
      </c>
      <c r="AE21" s="45" t="n">
        <v>3.84E-006</v>
      </c>
      <c r="AF21" s="70" t="n">
        <f aca="false">(AE21+AD21)/(2*AC21)</f>
        <v>7.5E-007</v>
      </c>
      <c r="AG21" s="70" t="n">
        <f aca="false">(AE21-AD21)/(2*AC21)</f>
        <v>1.8E-008</v>
      </c>
      <c r="AH21" s="103" t="n">
        <f aca="false">AG21/AF21</f>
        <v>0.0239999999999999</v>
      </c>
      <c r="AI21" s="19" t="s">
        <v>256</v>
      </c>
      <c r="AJ21" s="19" t="s">
        <v>257</v>
      </c>
      <c r="AK21" s="0"/>
      <c r="AL21" s="0"/>
      <c r="AM21" s="19" t="s">
        <v>110</v>
      </c>
      <c r="AN21" s="0"/>
      <c r="AO21" s="104" t="n">
        <v>40253</v>
      </c>
      <c r="AP21" s="70" t="n">
        <f aca="false">D21/K21</f>
        <v>0.9375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5" hidden="false" customHeight="true" outlineLevel="0" collapsed="false">
      <c r="A22" s="40" t="n">
        <v>0.2</v>
      </c>
      <c r="B22" s="70" t="n">
        <f aca="false">C22/J22</f>
        <v>0.944736842105263</v>
      </c>
      <c r="C22" s="19" t="n">
        <f aca="false">1000000000*D22</f>
        <v>755.78947368421</v>
      </c>
      <c r="D22" s="19" t="n">
        <v>7.55789473684211E-007</v>
      </c>
      <c r="E22" s="19" t="n">
        <v>1.05263157894737E-008</v>
      </c>
      <c r="F22" s="70" t="n">
        <f aca="false">E22/2</f>
        <v>5.26315789473684E-009</v>
      </c>
      <c r="G22" s="100" t="n">
        <f aca="false">E22/D22</f>
        <v>0.0139275766016713</v>
      </c>
      <c r="H22" s="100" t="n">
        <f aca="false">G22/2</f>
        <v>0.00696378830083565</v>
      </c>
      <c r="I22" s="64" t="n">
        <v>4</v>
      </c>
      <c r="J22" s="70" t="n">
        <f aca="false">1000000000*K22</f>
        <v>800</v>
      </c>
      <c r="K22" s="99" t="n">
        <v>8E-007</v>
      </c>
      <c r="L22" s="53" t="n">
        <v>1E-013</v>
      </c>
      <c r="M22" s="53" t="n">
        <f aca="false">L22*1000000000000</f>
        <v>0.1</v>
      </c>
      <c r="N22" s="19" t="s">
        <v>116</v>
      </c>
      <c r="O22" s="0"/>
      <c r="P22" s="0"/>
      <c r="Q22" s="0"/>
      <c r="R22" s="19" t="n">
        <v>0</v>
      </c>
      <c r="S22" s="19" t="s">
        <v>243</v>
      </c>
      <c r="T22" s="99" t="n">
        <f aca="false">A22/L22</f>
        <v>2000000000000</v>
      </c>
      <c r="U22" s="99" t="n">
        <f aca="false">I22*T22</f>
        <v>8000000000000</v>
      </c>
      <c r="V22" s="102" t="n">
        <f aca="false">I22*A22</f>
        <v>0.8</v>
      </c>
      <c r="W22" s="99" t="n">
        <f aca="false">AF22/K22</f>
        <v>0.944736842105263</v>
      </c>
      <c r="X22" s="0"/>
      <c r="Y22" s="0"/>
      <c r="Z22" s="0"/>
      <c r="AA22" s="0"/>
      <c r="AB22" s="0"/>
      <c r="AC22" s="19" t="n">
        <v>19</v>
      </c>
      <c r="AD22" s="45" t="n">
        <v>1.416E-005</v>
      </c>
      <c r="AE22" s="45" t="n">
        <v>1.456E-005</v>
      </c>
      <c r="AF22" s="70" t="n">
        <f aca="false">(AE22+AD22)/(2*AC22)</f>
        <v>7.55789473684211E-007</v>
      </c>
      <c r="AG22" s="70" t="n">
        <f aca="false">(AE22-AD22)/(2*AC22)</f>
        <v>1.05263157894737E-008</v>
      </c>
      <c r="AH22" s="103" t="n">
        <f aca="false">AG22/AF22</f>
        <v>0.0139275766016714</v>
      </c>
      <c r="AI22" s="105" t="s">
        <v>246</v>
      </c>
      <c r="AJ22" s="0"/>
      <c r="AK22" s="0"/>
      <c r="AL22" s="0"/>
      <c r="AM22" s="19" t="s">
        <v>110</v>
      </c>
      <c r="AN22" s="0"/>
      <c r="AO22" s="104" t="n">
        <v>40389</v>
      </c>
      <c r="AP22" s="70" t="n">
        <f aca="false">D22/K22</f>
        <v>0.944736842105263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5" hidden="false" customHeight="true" outlineLevel="0" collapsed="false">
      <c r="A23" s="40" t="n">
        <v>0.288</v>
      </c>
      <c r="B23" s="70" t="n">
        <f aca="false">C23/J23</f>
        <v>0.8453125</v>
      </c>
      <c r="C23" s="19" t="n">
        <f aca="false">1000000000*D23</f>
        <v>676.25</v>
      </c>
      <c r="D23" s="19" t="n">
        <v>6.7625E-007</v>
      </c>
      <c r="E23" s="19" t="n">
        <v>5.375E-008</v>
      </c>
      <c r="F23" s="70" t="n">
        <f aca="false">E23/2</f>
        <v>2.6875E-008</v>
      </c>
      <c r="G23" s="100" t="n">
        <f aca="false">E23/D23</f>
        <v>0.0794824399260629</v>
      </c>
      <c r="H23" s="100" t="n">
        <f aca="false">G23/2</f>
        <v>0.0397412199630314</v>
      </c>
      <c r="I23" s="64" t="n">
        <v>4</v>
      </c>
      <c r="J23" s="70" t="n">
        <f aca="false">1000000000*K23</f>
        <v>800</v>
      </c>
      <c r="K23" s="99" t="n">
        <v>8E-007</v>
      </c>
      <c r="L23" s="53" t="n">
        <v>1E-013</v>
      </c>
      <c r="M23" s="53" t="n">
        <f aca="false">L23*1000000000000</f>
        <v>0.1</v>
      </c>
      <c r="N23" s="19" t="s">
        <v>247</v>
      </c>
      <c r="O23" s="0"/>
      <c r="P23" s="0"/>
      <c r="Q23" s="0"/>
      <c r="R23" s="19" t="n">
        <v>0</v>
      </c>
      <c r="S23" s="19" t="s">
        <v>243</v>
      </c>
      <c r="T23" s="99" t="n">
        <f aca="false">A23/L23</f>
        <v>2880000000000</v>
      </c>
      <c r="U23" s="99" t="n">
        <f aca="false">I23*T23</f>
        <v>11520000000000</v>
      </c>
      <c r="V23" s="102" t="n">
        <f aca="false">I23*A23</f>
        <v>1.152</v>
      </c>
      <c r="W23" s="99" t="n">
        <f aca="false">AF23/K23</f>
        <v>0.8453125</v>
      </c>
      <c r="X23" s="0"/>
      <c r="Y23" s="0"/>
      <c r="Z23" s="0"/>
      <c r="AA23" s="0"/>
      <c r="AB23" s="0"/>
      <c r="AC23" s="64" t="n">
        <v>4</v>
      </c>
      <c r="AD23" s="45" t="n">
        <v>2.49E-006</v>
      </c>
      <c r="AE23" s="45" t="n">
        <v>2.92E-006</v>
      </c>
      <c r="AF23" s="70" t="n">
        <f aca="false">(AE23+AD23)/(2*AC23)</f>
        <v>6.7625E-007</v>
      </c>
      <c r="AG23" s="70" t="n">
        <f aca="false">(AE23-AD23)/(2*AC23)</f>
        <v>5.37500000000001E-008</v>
      </c>
      <c r="AH23" s="103" t="n">
        <f aca="false">AG23/AF23</f>
        <v>0.079482439926063</v>
      </c>
      <c r="AI23" s="19" t="s">
        <v>258</v>
      </c>
      <c r="AJ23" s="0"/>
      <c r="AK23" s="0"/>
      <c r="AL23" s="0"/>
      <c r="AM23" s="19" t="s">
        <v>110</v>
      </c>
      <c r="AN23" s="0"/>
      <c r="AO23" s="104" t="n">
        <v>40245</v>
      </c>
      <c r="AP23" s="70" t="n">
        <f aca="false">D23/K23</f>
        <v>0.8453125</v>
      </c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5" hidden="false" customHeight="true" outlineLevel="0" collapsed="false">
      <c r="A24" s="106" t="n">
        <v>0.313</v>
      </c>
      <c r="B24" s="70" t="n">
        <f aca="false">C24/J24</f>
        <v>0.861607142857143</v>
      </c>
      <c r="C24" s="107" t="n">
        <f aca="false">1000000000*D24</f>
        <v>689.285714285714</v>
      </c>
      <c r="D24" s="107" t="n">
        <v>6.89285714285714E-007</v>
      </c>
      <c r="E24" s="107" t="n">
        <v>1.78571428571429E-008</v>
      </c>
      <c r="F24" s="70" t="n">
        <f aca="false">E24/2</f>
        <v>8.92857142857143E-009</v>
      </c>
      <c r="G24" s="100" t="n">
        <f aca="false">E24/D24</f>
        <v>0.0259067357512954</v>
      </c>
      <c r="H24" s="100" t="n">
        <f aca="false">G24/2</f>
        <v>0.0129533678756477</v>
      </c>
      <c r="I24" s="108" t="n">
        <v>4</v>
      </c>
      <c r="J24" s="70" t="n">
        <f aca="false">1000000000*K24</f>
        <v>800</v>
      </c>
      <c r="K24" s="109" t="n">
        <v>8E-007</v>
      </c>
      <c r="L24" s="82" t="n">
        <v>1E-013</v>
      </c>
      <c r="M24" s="82" t="n">
        <f aca="false">L24*1000000000000</f>
        <v>0.1</v>
      </c>
      <c r="N24" s="107" t="s">
        <v>247</v>
      </c>
      <c r="O24" s="107"/>
      <c r="P24" s="107"/>
      <c r="Q24" s="107"/>
      <c r="R24" s="107" t="n">
        <v>0</v>
      </c>
      <c r="S24" s="107" t="s">
        <v>243</v>
      </c>
      <c r="T24" s="109" t="n">
        <f aca="false">A24/L24</f>
        <v>3130000000000</v>
      </c>
      <c r="U24" s="109" t="n">
        <f aca="false">I24*T24</f>
        <v>12520000000000</v>
      </c>
      <c r="V24" s="110" t="n">
        <f aca="false">I24*A24</f>
        <v>1.252</v>
      </c>
      <c r="W24" s="109" t="n">
        <f aca="false">AF24/K24</f>
        <v>0.861607142857143</v>
      </c>
      <c r="X24" s="106"/>
      <c r="Y24" s="107"/>
      <c r="Z24" s="107"/>
      <c r="AA24" s="107"/>
      <c r="AB24" s="140"/>
      <c r="AC24" s="108" t="n">
        <v>7</v>
      </c>
      <c r="AD24" s="20" t="n">
        <v>4.7E-006</v>
      </c>
      <c r="AE24" s="20" t="n">
        <v>4.95E-006</v>
      </c>
      <c r="AF24" s="20" t="n">
        <f aca="false">(AE24+AD24)/(2*AC24)</f>
        <v>6.89285714285714E-007</v>
      </c>
      <c r="AG24" s="20" t="n">
        <f aca="false">(AE24-AD24)/(2*AC24)</f>
        <v>1.78571428571429E-008</v>
      </c>
      <c r="AH24" s="112" t="n">
        <f aca="false">AG24/AF24</f>
        <v>0.0259067357512954</v>
      </c>
      <c r="AI24" s="107" t="s">
        <v>248</v>
      </c>
      <c r="AJ24" s="107"/>
      <c r="AK24" s="107"/>
      <c r="AL24" s="107"/>
      <c r="AM24" s="107" t="s">
        <v>110</v>
      </c>
      <c r="AN24" s="107" t="s">
        <v>123</v>
      </c>
      <c r="AO24" s="113" t="n">
        <v>40245</v>
      </c>
      <c r="AP24" s="70" t="n">
        <f aca="false">D24/K24</f>
        <v>0.861607142857143</v>
      </c>
      <c r="AQ24" s="107"/>
      <c r="AR24" s="107"/>
      <c r="AS24" s="107"/>
      <c r="AT24" s="107"/>
      <c r="AU24" s="107"/>
      <c r="AV24" s="107"/>
      <c r="AW24" s="107"/>
      <c r="AX24" s="107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5" hidden="false" customHeight="true" outlineLevel="0" collapsed="false">
      <c r="A25" s="40" t="n">
        <v>0.5</v>
      </c>
      <c r="B25" s="70" t="n">
        <f aca="false">C25/J25</f>
        <v>0.954807692307692</v>
      </c>
      <c r="C25" s="19" t="n">
        <f aca="false">1000000000*D25</f>
        <v>763.846153846154</v>
      </c>
      <c r="D25" s="19" t="n">
        <v>7.63846153846154E-007</v>
      </c>
      <c r="E25" s="19" t="n">
        <v>1.76923076923077E-008</v>
      </c>
      <c r="F25" s="70" t="n">
        <f aca="false">E25/2</f>
        <v>8.84615384615383E-009</v>
      </c>
      <c r="G25" s="100" t="n">
        <f aca="false">E25/D25</f>
        <v>0.0231621349446122</v>
      </c>
      <c r="H25" s="100" t="n">
        <f aca="false">G25/2</f>
        <v>0.0115810674723061</v>
      </c>
      <c r="I25" s="64" t="n">
        <v>4</v>
      </c>
      <c r="J25" s="70" t="n">
        <f aca="false">1000000000*K25</f>
        <v>800</v>
      </c>
      <c r="K25" s="99" t="n">
        <v>8E-007</v>
      </c>
      <c r="L25" s="53" t="n">
        <v>1E-013</v>
      </c>
      <c r="M25" s="53" t="n">
        <f aca="false">L25*1000000000000</f>
        <v>0.1</v>
      </c>
      <c r="N25" s="19" t="s">
        <v>116</v>
      </c>
      <c r="O25" s="0"/>
      <c r="P25" s="0"/>
      <c r="Q25" s="0"/>
      <c r="R25" s="19" t="n">
        <v>0</v>
      </c>
      <c r="S25" s="19" t="s">
        <v>243</v>
      </c>
      <c r="T25" s="99" t="n">
        <f aca="false">A25/L25</f>
        <v>5000000000000</v>
      </c>
      <c r="U25" s="99" t="n">
        <f aca="false">I25*T25</f>
        <v>20000000000000</v>
      </c>
      <c r="V25" s="102" t="n">
        <f aca="false">I25*A25</f>
        <v>2</v>
      </c>
      <c r="W25" s="99" t="n">
        <f aca="false">AF25/K25</f>
        <v>0.954807692307692</v>
      </c>
      <c r="X25" s="0"/>
      <c r="Y25" s="0"/>
      <c r="Z25" s="0"/>
      <c r="AA25" s="0"/>
      <c r="AB25" s="0"/>
      <c r="AC25" s="19" t="n">
        <v>13</v>
      </c>
      <c r="AD25" s="45" t="n">
        <v>9.7E-006</v>
      </c>
      <c r="AE25" s="45" t="n">
        <v>1.016E-005</v>
      </c>
      <c r="AF25" s="70" t="n">
        <f aca="false">(AE25+AD25)/(2*AC25)</f>
        <v>7.63846153846154E-007</v>
      </c>
      <c r="AG25" s="70" t="n">
        <f aca="false">(AE25-AD25)/(2*AC25)</f>
        <v>1.76923076923077E-008</v>
      </c>
      <c r="AH25" s="103" t="n">
        <f aca="false">AG25/AF25</f>
        <v>0.0231621349446122</v>
      </c>
      <c r="AI25" s="105" t="s">
        <v>246</v>
      </c>
      <c r="AJ25" s="0"/>
      <c r="AK25" s="0"/>
      <c r="AL25" s="0"/>
      <c r="AM25" s="19" t="s">
        <v>110</v>
      </c>
      <c r="AN25" s="19" t="s">
        <v>123</v>
      </c>
      <c r="AO25" s="104" t="n">
        <v>40389</v>
      </c>
      <c r="AP25" s="70" t="n">
        <f aca="false">D25/K25</f>
        <v>0.954807692307692</v>
      </c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5" hidden="false" customHeight="true" outlineLevel="0" collapsed="false">
      <c r="A26" s="40" t="n">
        <v>0.5</v>
      </c>
      <c r="B26" s="70" t="n">
        <f aca="false">C26/J26</f>
        <v>1.0025</v>
      </c>
      <c r="C26" s="19" t="n">
        <f aca="false">1000000000*D26</f>
        <v>802</v>
      </c>
      <c r="D26" s="19" t="n">
        <v>8.02E-007</v>
      </c>
      <c r="E26" s="19" t="n">
        <v>1.32E-008</v>
      </c>
      <c r="F26" s="70" t="n">
        <f aca="false">E26/2</f>
        <v>6.6E-009</v>
      </c>
      <c r="G26" s="100" t="n">
        <f aca="false">E26/D26</f>
        <v>0.0164588528678304</v>
      </c>
      <c r="H26" s="100" t="n">
        <f aca="false">G26/2</f>
        <v>0.00822942643391522</v>
      </c>
      <c r="I26" s="64" t="n">
        <v>4</v>
      </c>
      <c r="J26" s="70" t="n">
        <f aca="false">1000000000*K26</f>
        <v>800</v>
      </c>
      <c r="K26" s="99" t="n">
        <v>8E-007</v>
      </c>
      <c r="L26" s="53" t="n">
        <v>1E-013</v>
      </c>
      <c r="M26" s="64" t="n">
        <f aca="false">L26*1000000000000</f>
        <v>0.1</v>
      </c>
      <c r="N26" s="19" t="s">
        <v>247</v>
      </c>
      <c r="O26" s="0"/>
      <c r="P26" s="0"/>
      <c r="Q26" s="0"/>
      <c r="R26" s="19" t="n">
        <v>0</v>
      </c>
      <c r="S26" s="19" t="s">
        <v>243</v>
      </c>
      <c r="T26" s="40" t="n">
        <f aca="false">A26/L26</f>
        <v>5000000000000</v>
      </c>
      <c r="U26" s="40" t="n">
        <f aca="false">I26*T26</f>
        <v>20000000000000</v>
      </c>
      <c r="V26" s="40" t="n">
        <f aca="false">I26*A26</f>
        <v>2</v>
      </c>
      <c r="W26" s="99" t="n">
        <f aca="false">AF26/K26</f>
        <v>1.0025</v>
      </c>
      <c r="X26" s="0"/>
      <c r="Y26" s="0"/>
      <c r="Z26" s="0"/>
      <c r="AA26" s="0"/>
      <c r="AB26" s="0"/>
      <c r="AC26" s="19" t="n">
        <v>25</v>
      </c>
      <c r="AD26" s="45" t="n">
        <v>1.972E-005</v>
      </c>
      <c r="AE26" s="45" t="n">
        <v>2.038E-005</v>
      </c>
      <c r="AF26" s="70" t="n">
        <f aca="false">(AE26+AD26)/(2*AC26)</f>
        <v>8.02E-007</v>
      </c>
      <c r="AG26" s="70" t="n">
        <f aca="false">(AE26-AD26)/(2*AC26)</f>
        <v>1.32000000000001E-008</v>
      </c>
      <c r="AH26" s="103" t="n">
        <f aca="false">AG26/AF26</f>
        <v>0.0164588528678305</v>
      </c>
      <c r="AI26" s="19" t="s">
        <v>251</v>
      </c>
      <c r="AJ26" s="0"/>
      <c r="AK26" s="0"/>
      <c r="AL26" s="0"/>
      <c r="AM26" s="19" t="s">
        <v>110</v>
      </c>
      <c r="AN26" s="19" t="s">
        <v>123</v>
      </c>
      <c r="AO26" s="40"/>
      <c r="AP26" s="70" t="n">
        <f aca="false">D26/K26</f>
        <v>1.0025</v>
      </c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5" hidden="false" customHeight="true" outlineLevel="0" collapsed="false">
      <c r="A27" s="40" t="n">
        <v>0.8</v>
      </c>
      <c r="B27" s="70" t="n">
        <f aca="false">C27/J27</f>
        <v>0.926785714285714</v>
      </c>
      <c r="C27" s="19" t="n">
        <f aca="false">1000000000*D27</f>
        <v>741.428571428571</v>
      </c>
      <c r="D27" s="19" t="n">
        <v>7.41428571428571E-007</v>
      </c>
      <c r="E27" s="19" t="n">
        <v>3.57142857142857E-008</v>
      </c>
      <c r="F27" s="70" t="n">
        <f aca="false">E27/2</f>
        <v>1.78571428571428E-008</v>
      </c>
      <c r="G27" s="100" t="n">
        <f aca="false">E27/D27</f>
        <v>0.048169556840077</v>
      </c>
      <c r="H27" s="100" t="n">
        <f aca="false">G27/2</f>
        <v>0.0240847784200385</v>
      </c>
      <c r="I27" s="64" t="n">
        <v>4</v>
      </c>
      <c r="J27" s="70" t="n">
        <f aca="false">1000000000*K27</f>
        <v>800</v>
      </c>
      <c r="K27" s="99" t="n">
        <v>8E-007</v>
      </c>
      <c r="L27" s="53" t="n">
        <v>1E-013</v>
      </c>
      <c r="M27" s="53" t="n">
        <f aca="false">L27*1000000000000</f>
        <v>0.1</v>
      </c>
      <c r="N27" s="19" t="s">
        <v>116</v>
      </c>
      <c r="O27" s="0"/>
      <c r="P27" s="0"/>
      <c r="Q27" s="0"/>
      <c r="R27" s="19" t="n">
        <v>0</v>
      </c>
      <c r="S27" s="19" t="s">
        <v>243</v>
      </c>
      <c r="T27" s="99" t="n">
        <f aca="false">A27/L27</f>
        <v>8000000000000</v>
      </c>
      <c r="U27" s="99" t="n">
        <f aca="false">I27*T27</f>
        <v>32000000000000</v>
      </c>
      <c r="V27" s="102" t="n">
        <f aca="false">I27*A27</f>
        <v>3.2</v>
      </c>
      <c r="W27" s="99" t="n">
        <f aca="false">AF27/K27</f>
        <v>0.926785714285714</v>
      </c>
      <c r="X27" s="0"/>
      <c r="Y27" s="0"/>
      <c r="Z27" s="0"/>
      <c r="AA27" s="0"/>
      <c r="AB27" s="0"/>
      <c r="AC27" s="19" t="n">
        <v>7</v>
      </c>
      <c r="AD27" s="45" t="n">
        <v>4.94E-006</v>
      </c>
      <c r="AE27" s="45" t="n">
        <v>5.44E-006</v>
      </c>
      <c r="AF27" s="70" t="n">
        <f aca="false">(AE27+AD27)/(2*AC27)</f>
        <v>7.41428571428571E-007</v>
      </c>
      <c r="AG27" s="70" t="n">
        <f aca="false">(AE27-AD27)/(2*AC27)</f>
        <v>3.57142857142857E-008</v>
      </c>
      <c r="AH27" s="103" t="n">
        <f aca="false">AG27/AF27</f>
        <v>0.0481695568400771</v>
      </c>
      <c r="AI27" s="105" t="s">
        <v>246</v>
      </c>
      <c r="AJ27" s="0"/>
      <c r="AK27" s="0"/>
      <c r="AL27" s="0"/>
      <c r="AM27" s="19" t="s">
        <v>110</v>
      </c>
      <c r="AN27" s="19" t="s">
        <v>123</v>
      </c>
      <c r="AO27" s="104" t="n">
        <v>40389</v>
      </c>
      <c r="AP27" s="70" t="n">
        <f aca="false">D27/K27</f>
        <v>0.926785714285714</v>
      </c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5" hidden="false" customHeight="true" outlineLevel="0" collapsed="false">
      <c r="A28" s="40" t="n">
        <v>0.85</v>
      </c>
      <c r="B28" s="70" t="n">
        <f aca="false">C28/J28</f>
        <v>0.99375</v>
      </c>
      <c r="C28" s="19" t="n">
        <f aca="false">1000000000*D28</f>
        <v>795</v>
      </c>
      <c r="D28" s="19" t="n">
        <v>7.95E-007</v>
      </c>
      <c r="E28" s="19" t="n">
        <v>9.37500000000002E-009</v>
      </c>
      <c r="F28" s="70" t="n">
        <f aca="false">E28/2</f>
        <v>4.68750000000001E-009</v>
      </c>
      <c r="G28" s="100" t="n">
        <f aca="false">E28/D28</f>
        <v>0.0117924528301887</v>
      </c>
      <c r="H28" s="100" t="n">
        <f aca="false">G28/2</f>
        <v>0.00589622641509435</v>
      </c>
      <c r="I28" s="64" t="n">
        <v>4</v>
      </c>
      <c r="J28" s="70" t="n">
        <f aca="false">1000000000*K28</f>
        <v>800</v>
      </c>
      <c r="K28" s="99" t="n">
        <v>8E-007</v>
      </c>
      <c r="L28" s="53" t="n">
        <v>1E-013</v>
      </c>
      <c r="M28" s="53" t="n">
        <f aca="false">L28*1000000000000</f>
        <v>0.1</v>
      </c>
      <c r="N28" s="19" t="s">
        <v>247</v>
      </c>
      <c r="O28" s="0"/>
      <c r="P28" s="0"/>
      <c r="Q28" s="70"/>
      <c r="R28" s="19" t="n">
        <v>0</v>
      </c>
      <c r="S28" s="19" t="s">
        <v>243</v>
      </c>
      <c r="T28" s="99" t="n">
        <f aca="false">A28/L28</f>
        <v>8500000000000</v>
      </c>
      <c r="U28" s="99" t="n">
        <f aca="false">I28*T28</f>
        <v>34000000000000</v>
      </c>
      <c r="V28" s="102" t="n">
        <f aca="false">I28*A28</f>
        <v>3.4</v>
      </c>
      <c r="W28" s="99" t="n">
        <f aca="false">AF28/K28</f>
        <v>0.99375</v>
      </c>
      <c r="X28" s="44" t="n">
        <v>7.2E-007</v>
      </c>
      <c r="Y28" s="45" t="n">
        <v>8.3E-007</v>
      </c>
      <c r="Z28" s="70" t="n">
        <f aca="false">(X28+Y28)/2</f>
        <v>7.75E-007</v>
      </c>
      <c r="AA28" s="70" t="n">
        <f aca="false">(Y28-X28)/2</f>
        <v>5.5E-008</v>
      </c>
      <c r="AB28" s="111" t="n">
        <f aca="false">AA28/Z28</f>
        <v>0.0709677419354839</v>
      </c>
      <c r="AC28" s="64" t="n">
        <v>16</v>
      </c>
      <c r="AD28" s="45" t="n">
        <v>1.257E-005</v>
      </c>
      <c r="AE28" s="45" t="n">
        <v>1.287E-005</v>
      </c>
      <c r="AF28" s="70" t="n">
        <f aca="false">(AE28+AD28)/(2*AC28)</f>
        <v>7.95E-007</v>
      </c>
      <c r="AG28" s="70" t="n">
        <f aca="false">(AE28-AD28)/(2*AC28)</f>
        <v>9.37499999999996E-009</v>
      </c>
      <c r="AH28" s="103" t="n">
        <f aca="false">AG28/AF28</f>
        <v>0.0117924528301886</v>
      </c>
      <c r="AI28" s="19" t="s">
        <v>255</v>
      </c>
      <c r="AJ28" s="0"/>
      <c r="AK28" s="0"/>
      <c r="AL28" s="0"/>
      <c r="AM28" s="19" t="s">
        <v>110</v>
      </c>
      <c r="AN28" s="19" t="s">
        <v>123</v>
      </c>
      <c r="AO28" s="104" t="n">
        <v>40245</v>
      </c>
      <c r="AP28" s="70" t="n">
        <f aca="false">D28/K28</f>
        <v>0.99375</v>
      </c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5" hidden="false" customHeight="true" outlineLevel="0" collapsed="false">
      <c r="A29" s="40" t="n">
        <v>0.1</v>
      </c>
      <c r="B29" s="70" t="n">
        <f aca="false">C29/J29</f>
        <v>0.940441176470588</v>
      </c>
      <c r="C29" s="19" t="n">
        <f aca="false">1000000000*D29</f>
        <v>752.352941176471</v>
      </c>
      <c r="D29" s="19" t="n">
        <v>7.52352941176471E-007</v>
      </c>
      <c r="E29" s="19" t="n">
        <v>1.29411764705883E-008</v>
      </c>
      <c r="F29" s="70" t="n">
        <f aca="false">E29/2</f>
        <v>6.47058823529413E-009</v>
      </c>
      <c r="G29" s="100" t="n">
        <f aca="false">E29/D29</f>
        <v>0.0172009382329946</v>
      </c>
      <c r="H29" s="100" t="n">
        <f aca="false">G29/2</f>
        <v>0.00860046911649728</v>
      </c>
      <c r="I29" s="64" t="n">
        <v>5</v>
      </c>
      <c r="J29" s="70" t="n">
        <f aca="false">1000000000*K29</f>
        <v>800</v>
      </c>
      <c r="K29" s="99" t="n">
        <v>8E-007</v>
      </c>
      <c r="L29" s="53" t="n">
        <v>1E-013</v>
      </c>
      <c r="M29" s="53" t="n">
        <f aca="false">L29*1000000000000</f>
        <v>0.1</v>
      </c>
      <c r="N29" s="19" t="s">
        <v>116</v>
      </c>
      <c r="O29" s="0"/>
      <c r="P29" s="0"/>
      <c r="Q29" s="0"/>
      <c r="R29" s="19" t="n">
        <v>0</v>
      </c>
      <c r="S29" s="19" t="s">
        <v>243</v>
      </c>
      <c r="T29" s="99" t="n">
        <f aca="false">A29/L29</f>
        <v>1000000000000</v>
      </c>
      <c r="U29" s="99" t="n">
        <f aca="false">I29*T29</f>
        <v>5000000000000</v>
      </c>
      <c r="V29" s="102" t="n">
        <f aca="false">I29*A29</f>
        <v>0.5</v>
      </c>
      <c r="W29" s="99" t="n">
        <f aca="false">AF29/K29</f>
        <v>0.940441176470588</v>
      </c>
      <c r="X29" s="0"/>
      <c r="Y29" s="0"/>
      <c r="Z29" s="0"/>
      <c r="AA29" s="0"/>
      <c r="AB29" s="0"/>
      <c r="AC29" s="19" t="n">
        <v>17</v>
      </c>
      <c r="AD29" s="45" t="n">
        <v>1.257E-005</v>
      </c>
      <c r="AE29" s="45" t="n">
        <v>1.301E-005</v>
      </c>
      <c r="AF29" s="70" t="n">
        <f aca="false">(AE29+AD29)/(2*AC29)</f>
        <v>7.52352941176471E-007</v>
      </c>
      <c r="AG29" s="70" t="n">
        <f aca="false">(AE29-AD29)/(2*AC29)</f>
        <v>1.29411764705883E-008</v>
      </c>
      <c r="AH29" s="103" t="n">
        <f aca="false">AG29/AF29</f>
        <v>0.0172009382329946</v>
      </c>
      <c r="AI29" s="105" t="s">
        <v>246</v>
      </c>
      <c r="AJ29" s="0"/>
      <c r="AK29" s="0"/>
      <c r="AL29" s="0"/>
      <c r="AM29" s="19" t="s">
        <v>110</v>
      </c>
      <c r="AN29" s="19" t="s">
        <v>123</v>
      </c>
      <c r="AO29" s="104" t="n">
        <v>40389</v>
      </c>
      <c r="AP29" s="70" t="n">
        <f aca="false">D29/K29</f>
        <v>0.940441176470588</v>
      </c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5" hidden="false" customHeight="true" outlineLevel="0" collapsed="false">
      <c r="A30" s="40" t="n">
        <v>0.2</v>
      </c>
      <c r="B30" s="70" t="n">
        <f aca="false">C30/J30</f>
        <v>0.946428571428571</v>
      </c>
      <c r="C30" s="19" t="n">
        <f aca="false">1000000000*D30</f>
        <v>757.142857142857</v>
      </c>
      <c r="D30" s="19" t="n">
        <v>7.57142857142857E-007</v>
      </c>
      <c r="E30" s="19" t="n">
        <v>1.42857142857143E-008</v>
      </c>
      <c r="F30" s="70" t="n">
        <f aca="false">E30/2</f>
        <v>7.14285714285713E-009</v>
      </c>
      <c r="G30" s="100" t="n">
        <f aca="false">E30/D30</f>
        <v>0.0188679245283019</v>
      </c>
      <c r="H30" s="100" t="n">
        <f aca="false">G30/2</f>
        <v>0.00943396226415093</v>
      </c>
      <c r="I30" s="19" t="n">
        <v>5</v>
      </c>
      <c r="J30" s="70" t="n">
        <f aca="false">1000000000*K30</f>
        <v>800</v>
      </c>
      <c r="K30" s="99" t="n">
        <v>8E-007</v>
      </c>
      <c r="L30" s="53" t="n">
        <v>1E-013</v>
      </c>
      <c r="M30" s="53" t="n">
        <f aca="false">L30*1000000000000</f>
        <v>0.1</v>
      </c>
      <c r="N30" s="19" t="s">
        <v>247</v>
      </c>
      <c r="O30" s="0"/>
      <c r="P30" s="0"/>
      <c r="Q30" s="0"/>
      <c r="R30" s="19" t="n">
        <v>0</v>
      </c>
      <c r="S30" s="19" t="s">
        <v>243</v>
      </c>
      <c r="T30" s="99" t="n">
        <f aca="false">A30/L30</f>
        <v>2000000000000</v>
      </c>
      <c r="U30" s="99" t="n">
        <f aca="false">I30*T30</f>
        <v>10000000000000</v>
      </c>
      <c r="V30" s="102" t="n">
        <f aca="false">I30*A30</f>
        <v>1</v>
      </c>
      <c r="W30" s="99" t="n">
        <f aca="false">AF30/K30</f>
        <v>0.946428571428572</v>
      </c>
      <c r="X30" s="44" t="n">
        <v>6.3E-007</v>
      </c>
      <c r="Y30" s="45" t="n">
        <v>8E-007</v>
      </c>
      <c r="Z30" s="70" t="n">
        <f aca="false">(X30+Y30)/2</f>
        <v>7.15E-007</v>
      </c>
      <c r="AA30" s="70" t="n">
        <f aca="false">(Y30-X30)/2</f>
        <v>8.5E-008</v>
      </c>
      <c r="AB30" s="111" t="n">
        <f aca="false">AA30/Z30</f>
        <v>0.118881118881119</v>
      </c>
      <c r="AC30" s="19" t="n">
        <v>7</v>
      </c>
      <c r="AD30" s="45" t="n">
        <v>5.2E-006</v>
      </c>
      <c r="AE30" s="45" t="n">
        <v>5.4E-006</v>
      </c>
      <c r="AF30" s="70" t="n">
        <f aca="false">(AE30+AD30)/(2*AC30)</f>
        <v>7.57142857142857E-007</v>
      </c>
      <c r="AG30" s="70" t="n">
        <f aca="false">(AE30-AD30)/(2*AC30)</f>
        <v>1.42857142857143E-008</v>
      </c>
      <c r="AH30" s="103" t="n">
        <f aca="false">AG30/AF30</f>
        <v>0.0188679245283019</v>
      </c>
      <c r="AI30" s="19" t="s">
        <v>256</v>
      </c>
      <c r="AJ30" s="19" t="s">
        <v>257</v>
      </c>
      <c r="AK30" s="0"/>
      <c r="AL30" s="0"/>
      <c r="AM30" s="19" t="s">
        <v>110</v>
      </c>
      <c r="AN30" s="19" t="s">
        <v>123</v>
      </c>
      <c r="AO30" s="104" t="n">
        <v>40253</v>
      </c>
      <c r="AP30" s="70" t="n">
        <f aca="false">D30/K30</f>
        <v>0.946428571428571</v>
      </c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5" hidden="false" customHeight="true" outlineLevel="0" collapsed="false">
      <c r="A31" s="40" t="n">
        <v>0.2</v>
      </c>
      <c r="B31" s="70" t="n">
        <f aca="false">C31/J31</f>
        <v>0.917708333333333</v>
      </c>
      <c r="C31" s="19" t="n">
        <f aca="false">1000000000*D31</f>
        <v>734.166666666667</v>
      </c>
      <c r="D31" s="19" t="n">
        <v>7.34166666666667E-007</v>
      </c>
      <c r="E31" s="19" t="n">
        <v>1.83333333333333E-008</v>
      </c>
      <c r="F31" s="70" t="n">
        <f aca="false">E31/2</f>
        <v>9.16666666666665E-009</v>
      </c>
      <c r="G31" s="100" t="n">
        <f aca="false">E31/D31</f>
        <v>0.0249716231555051</v>
      </c>
      <c r="H31" s="100" t="n">
        <f aca="false">G31/2</f>
        <v>0.0124858115777525</v>
      </c>
      <c r="I31" s="64" t="n">
        <v>5</v>
      </c>
      <c r="J31" s="70" t="n">
        <f aca="false">1000000000*K31</f>
        <v>800</v>
      </c>
      <c r="K31" s="99" t="n">
        <v>8E-007</v>
      </c>
      <c r="L31" s="53" t="n">
        <v>1E-013</v>
      </c>
      <c r="M31" s="53" t="n">
        <f aca="false">L31*1000000000000</f>
        <v>0.1</v>
      </c>
      <c r="N31" s="19" t="s">
        <v>116</v>
      </c>
      <c r="O31" s="0"/>
      <c r="P31" s="0"/>
      <c r="Q31" s="0"/>
      <c r="R31" s="19" t="n">
        <v>0</v>
      </c>
      <c r="S31" s="19" t="s">
        <v>243</v>
      </c>
      <c r="T31" s="99" t="n">
        <f aca="false">A31/L31</f>
        <v>2000000000000</v>
      </c>
      <c r="U31" s="99" t="n">
        <f aca="false">I31*T31</f>
        <v>10000000000000</v>
      </c>
      <c r="V31" s="102" t="n">
        <f aca="false">I31*A31</f>
        <v>1</v>
      </c>
      <c r="W31" s="99" t="n">
        <f aca="false">AF31/K31</f>
        <v>0.917708333333333</v>
      </c>
      <c r="X31" s="0"/>
      <c r="Y31" s="0"/>
      <c r="Z31" s="0"/>
      <c r="AA31" s="0"/>
      <c r="AB31" s="0"/>
      <c r="AC31" s="19" t="n">
        <v>12</v>
      </c>
      <c r="AD31" s="45" t="n">
        <v>8.59E-006</v>
      </c>
      <c r="AE31" s="45" t="n">
        <v>9.03E-006</v>
      </c>
      <c r="AF31" s="70" t="n">
        <f aca="false">(AE31+AD31)/(2*AC31)</f>
        <v>7.34166666666667E-007</v>
      </c>
      <c r="AG31" s="70" t="n">
        <f aca="false">(AE31-AD31)/(2*AC31)</f>
        <v>1.83333333333333E-008</v>
      </c>
      <c r="AH31" s="103" t="n">
        <f aca="false">AG31/AF31</f>
        <v>0.0249716231555051</v>
      </c>
      <c r="AI31" s="105" t="s">
        <v>246</v>
      </c>
      <c r="AJ31" s="0"/>
      <c r="AK31" s="0"/>
      <c r="AL31" s="0"/>
      <c r="AM31" s="19" t="s">
        <v>110</v>
      </c>
      <c r="AN31" s="19" t="s">
        <v>123</v>
      </c>
      <c r="AO31" s="104" t="n">
        <v>40389</v>
      </c>
      <c r="AP31" s="70" t="n">
        <f aca="false">D31/K31</f>
        <v>0.917708333333333</v>
      </c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115" customFormat="true" ht="15" hidden="false" customHeight="true" outlineLevel="0" collapsed="false">
      <c r="A32" s="114" t="n">
        <v>0.288</v>
      </c>
      <c r="B32" s="70" t="n">
        <f aca="false">C32/J32</f>
        <v>0.89375</v>
      </c>
      <c r="C32" s="19" t="n">
        <f aca="false">1000000000*D32</f>
        <v>715</v>
      </c>
      <c r="D32" s="115" t="n">
        <v>7.15E-007</v>
      </c>
      <c r="E32" s="115" t="n">
        <v>3.25E-008</v>
      </c>
      <c r="F32" s="70" t="n">
        <f aca="false">E32/2</f>
        <v>1.625E-008</v>
      </c>
      <c r="G32" s="100" t="n">
        <f aca="false">E32/D32</f>
        <v>0.0454545454545455</v>
      </c>
      <c r="H32" s="100" t="n">
        <f aca="false">G32/2</f>
        <v>0.0227272727272727</v>
      </c>
      <c r="I32" s="116" t="n">
        <v>5</v>
      </c>
      <c r="J32" s="70" t="n">
        <f aca="false">1000000000*K32</f>
        <v>800</v>
      </c>
      <c r="K32" s="117" t="n">
        <v>8E-007</v>
      </c>
      <c r="L32" s="118" t="n">
        <v>1E-013</v>
      </c>
      <c r="M32" s="118" t="n">
        <f aca="false">L32*1000000000000</f>
        <v>0.1</v>
      </c>
      <c r="N32" s="115" t="s">
        <v>247</v>
      </c>
      <c r="R32" s="115" t="n">
        <v>0</v>
      </c>
      <c r="S32" s="115" t="s">
        <v>243</v>
      </c>
      <c r="T32" s="117" t="n">
        <f aca="false">A32/L32</f>
        <v>2880000000000</v>
      </c>
      <c r="U32" s="117" t="n">
        <f aca="false">I32*T32</f>
        <v>14400000000000</v>
      </c>
      <c r="V32" s="119" t="n">
        <f aca="false">I32*A32</f>
        <v>1.44</v>
      </c>
      <c r="W32" s="117" t="n">
        <f aca="false">AF32/K32</f>
        <v>0.89375</v>
      </c>
      <c r="X32" s="120"/>
      <c r="Y32" s="121"/>
      <c r="AB32" s="122"/>
      <c r="AC32" s="116" t="n">
        <v>4</v>
      </c>
      <c r="AD32" s="123" t="n">
        <v>2.73E-006</v>
      </c>
      <c r="AE32" s="123" t="n">
        <v>2.99E-006</v>
      </c>
      <c r="AF32" s="124" t="n">
        <f aca="false">(AE32+AD32)/(2*AC32)</f>
        <v>7.15E-007</v>
      </c>
      <c r="AG32" s="124" t="n">
        <f aca="false">(AE32-AD32)/(2*AC32)</f>
        <v>3.25000000000001E-008</v>
      </c>
      <c r="AH32" s="125" t="n">
        <f aca="false">AG32/AF32</f>
        <v>0.0454545454545455</v>
      </c>
      <c r="AI32" s="115" t="s">
        <v>258</v>
      </c>
      <c r="AM32" s="19" t="s">
        <v>110</v>
      </c>
      <c r="AN32" s="19" t="s">
        <v>123</v>
      </c>
      <c r="AO32" s="127" t="n">
        <v>40245</v>
      </c>
      <c r="AP32" s="70" t="n">
        <f aca="false">D32/K32</f>
        <v>0.89375</v>
      </c>
    </row>
    <row r="33" s="98" customFormat="true" ht="15" hidden="false" customHeight="true" outlineLevel="0" collapsed="false">
      <c r="A33" s="141" t="n">
        <v>0.313</v>
      </c>
      <c r="B33" s="70" t="n">
        <f aca="false">C33/J33</f>
        <v>0.807291666666666</v>
      </c>
      <c r="C33" s="107" t="n">
        <f aca="false">1000000000*D33</f>
        <v>645.833333333333</v>
      </c>
      <c r="D33" s="142" t="n">
        <v>6.45833333333333E-007</v>
      </c>
      <c r="E33" s="142" t="n">
        <v>9.16666666666665E-009</v>
      </c>
      <c r="F33" s="70" t="n">
        <f aca="false">E33/2</f>
        <v>4.58333333333333E-009</v>
      </c>
      <c r="G33" s="100" t="n">
        <f aca="false">E33/D33</f>
        <v>0.0141935483870968</v>
      </c>
      <c r="H33" s="100" t="n">
        <f aca="false">G33/2</f>
        <v>0.00709677419354838</v>
      </c>
      <c r="I33" s="143" t="n">
        <v>5</v>
      </c>
      <c r="J33" s="70" t="n">
        <f aca="false">1000000000*K33</f>
        <v>800</v>
      </c>
      <c r="K33" s="144" t="n">
        <v>8E-007</v>
      </c>
      <c r="L33" s="145" t="n">
        <v>1E-013</v>
      </c>
      <c r="M33" s="145" t="n">
        <f aca="false">L33*1000000000000</f>
        <v>0.1</v>
      </c>
      <c r="N33" s="142" t="s">
        <v>247</v>
      </c>
      <c r="O33" s="142"/>
      <c r="P33" s="142"/>
      <c r="Q33" s="142"/>
      <c r="R33" s="142" t="n">
        <v>0</v>
      </c>
      <c r="S33" s="142" t="s">
        <v>243</v>
      </c>
      <c r="T33" s="144" t="n">
        <f aca="false">A33/L33</f>
        <v>3130000000000</v>
      </c>
      <c r="U33" s="144" t="n">
        <f aca="false">I33*T33</f>
        <v>15650000000000</v>
      </c>
      <c r="V33" s="146" t="n">
        <f aca="false">I33*A33</f>
        <v>1.565</v>
      </c>
      <c r="W33" s="144" t="n">
        <f aca="false">AF33/K33</f>
        <v>0.807291666666666</v>
      </c>
      <c r="X33" s="141"/>
      <c r="Y33" s="142"/>
      <c r="Z33" s="142"/>
      <c r="AA33" s="142"/>
      <c r="AB33" s="147"/>
      <c r="AC33" s="143" t="n">
        <v>6</v>
      </c>
      <c r="AD33" s="148" t="n">
        <v>3.82E-006</v>
      </c>
      <c r="AE33" s="148" t="n">
        <v>3.93E-006</v>
      </c>
      <c r="AF33" s="148" t="n">
        <f aca="false">(AE33+AD33)/(2*AC33)</f>
        <v>6.45833333333333E-007</v>
      </c>
      <c r="AG33" s="148" t="n">
        <f aca="false">(AE33-AD33)/(2*AC33)</f>
        <v>9.16666666666665E-009</v>
      </c>
      <c r="AH33" s="149" t="n">
        <f aca="false">AG33/AF33</f>
        <v>0.0141935483870968</v>
      </c>
      <c r="AI33" s="142" t="s">
        <v>248</v>
      </c>
      <c r="AJ33" s="142"/>
      <c r="AK33" s="142"/>
      <c r="AL33" s="142"/>
      <c r="AM33" s="107" t="s">
        <v>110</v>
      </c>
      <c r="AN33" s="107" t="s">
        <v>123</v>
      </c>
      <c r="AO33" s="150" t="n">
        <v>40245</v>
      </c>
      <c r="AP33" s="70" t="n">
        <f aca="false">D33/K33</f>
        <v>0.807291666666666</v>
      </c>
      <c r="AQ33" s="142"/>
      <c r="AR33" s="142"/>
      <c r="AS33" s="142"/>
      <c r="AT33" s="142"/>
      <c r="AU33" s="142"/>
      <c r="AV33" s="142"/>
      <c r="AW33" s="142"/>
      <c r="AX33" s="142"/>
    </row>
    <row r="34" customFormat="false" ht="15" hidden="false" customHeight="true" outlineLevel="0" collapsed="false">
      <c r="A34" s="40" t="n">
        <v>0.5</v>
      </c>
      <c r="B34" s="70" t="n">
        <f aca="false">C34/J34</f>
        <v>0.99</v>
      </c>
      <c r="C34" s="19" t="n">
        <f aca="false">1000000000*D34</f>
        <v>792</v>
      </c>
      <c r="D34" s="19" t="n">
        <v>7.92E-007</v>
      </c>
      <c r="E34" s="19" t="n">
        <v>3.2E-008</v>
      </c>
      <c r="F34" s="70" t="n">
        <f aca="false">E34/2</f>
        <v>1.6E-008</v>
      </c>
      <c r="G34" s="100" t="n">
        <f aca="false">E34/D34</f>
        <v>0.0404040404040405</v>
      </c>
      <c r="H34" s="100" t="n">
        <f aca="false">G34/2</f>
        <v>0.0202020202020202</v>
      </c>
      <c r="I34" s="64" t="n">
        <v>5</v>
      </c>
      <c r="J34" s="70" t="n">
        <f aca="false">1000000000*K34</f>
        <v>800</v>
      </c>
      <c r="K34" s="99" t="n">
        <v>8E-007</v>
      </c>
      <c r="L34" s="53" t="n">
        <v>1E-013</v>
      </c>
      <c r="M34" s="53" t="n">
        <f aca="false">L34*1000000000000</f>
        <v>0.1</v>
      </c>
      <c r="N34" s="19" t="s">
        <v>116</v>
      </c>
      <c r="O34" s="0"/>
      <c r="P34" s="0"/>
      <c r="Q34" s="0"/>
      <c r="R34" s="19" t="n">
        <v>0</v>
      </c>
      <c r="S34" s="19" t="s">
        <v>243</v>
      </c>
      <c r="T34" s="99" t="n">
        <f aca="false">A34/L34</f>
        <v>5000000000000</v>
      </c>
      <c r="U34" s="99" t="n">
        <f aca="false">I34*T34</f>
        <v>25000000000000</v>
      </c>
      <c r="V34" s="102" t="n">
        <f aca="false">I34*A34</f>
        <v>2.5</v>
      </c>
      <c r="W34" s="99" t="n">
        <f aca="false">AF34/K34</f>
        <v>0.99</v>
      </c>
      <c r="X34" s="0"/>
      <c r="Y34" s="0"/>
      <c r="Z34" s="0"/>
      <c r="AA34" s="0"/>
      <c r="AB34" s="0"/>
      <c r="AC34" s="19" t="n">
        <v>10</v>
      </c>
      <c r="AD34" s="45" t="n">
        <v>7.6E-006</v>
      </c>
      <c r="AE34" s="45" t="n">
        <v>8.24E-006</v>
      </c>
      <c r="AF34" s="70" t="n">
        <f aca="false">(AE34+AD34)/(2*AC34)</f>
        <v>7.92E-007</v>
      </c>
      <c r="AG34" s="70" t="n">
        <f aca="false">(AE34-AD34)/(2*AC34)</f>
        <v>3.2E-008</v>
      </c>
      <c r="AH34" s="103" t="n">
        <f aca="false">AG34/AF34</f>
        <v>0.0404040404040404</v>
      </c>
      <c r="AI34" s="105" t="s">
        <v>246</v>
      </c>
      <c r="AJ34" s="0"/>
      <c r="AK34" s="0"/>
      <c r="AL34" s="0"/>
      <c r="AM34" s="19" t="s">
        <v>110</v>
      </c>
      <c r="AN34" s="19" t="s">
        <v>123</v>
      </c>
      <c r="AO34" s="104" t="n">
        <v>40389</v>
      </c>
      <c r="AP34" s="70" t="n">
        <f aca="false">D34/K34</f>
        <v>0.99</v>
      </c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5" hidden="false" customHeight="true" outlineLevel="0" collapsed="false">
      <c r="A35" s="40" t="n">
        <v>0.8</v>
      </c>
      <c r="B35" s="70" t="n">
        <f aca="false">C35/J35</f>
        <v>1.0275</v>
      </c>
      <c r="C35" s="19" t="n">
        <f aca="false">1000000000*D35</f>
        <v>822</v>
      </c>
      <c r="D35" s="19" t="n">
        <v>8.22E-007</v>
      </c>
      <c r="E35" s="19" t="n">
        <v>1.7E-008</v>
      </c>
      <c r="F35" s="70" t="n">
        <f aca="false">E35/2</f>
        <v>8.5E-009</v>
      </c>
      <c r="G35" s="100" t="n">
        <f aca="false">E35/D35</f>
        <v>0.0206812652068127</v>
      </c>
      <c r="H35" s="100" t="n">
        <f aca="false">G35/2</f>
        <v>0.0103406326034063</v>
      </c>
      <c r="I35" s="64" t="n">
        <v>5</v>
      </c>
      <c r="J35" s="70" t="n">
        <f aca="false">1000000000*K35</f>
        <v>800</v>
      </c>
      <c r="K35" s="99" t="n">
        <v>8E-007</v>
      </c>
      <c r="L35" s="53" t="n">
        <v>1E-013</v>
      </c>
      <c r="M35" s="53" t="n">
        <f aca="false">L35*1000000000000</f>
        <v>0.1</v>
      </c>
      <c r="N35" s="19" t="s">
        <v>116</v>
      </c>
      <c r="O35" s="0"/>
      <c r="P35" s="0"/>
      <c r="Q35" s="0"/>
      <c r="R35" s="19" t="n">
        <v>0</v>
      </c>
      <c r="S35" s="19" t="s">
        <v>243</v>
      </c>
      <c r="T35" s="99" t="n">
        <f aca="false">A35/L35</f>
        <v>8000000000000</v>
      </c>
      <c r="U35" s="99" t="n">
        <f aca="false">I35*T35</f>
        <v>40000000000000</v>
      </c>
      <c r="V35" s="102" t="n">
        <f aca="false">I35*A35</f>
        <v>4</v>
      </c>
      <c r="W35" s="99" t="n">
        <f aca="false">AF35/K35</f>
        <v>1.0275</v>
      </c>
      <c r="X35" s="0"/>
      <c r="Y35" s="0"/>
      <c r="Z35" s="0"/>
      <c r="AA35" s="0"/>
      <c r="AB35" s="0"/>
      <c r="AC35" s="19" t="n">
        <v>10</v>
      </c>
      <c r="AD35" s="45" t="n">
        <v>8.05E-006</v>
      </c>
      <c r="AE35" s="45" t="n">
        <v>8.39E-006</v>
      </c>
      <c r="AF35" s="70" t="n">
        <f aca="false">(AE35+AD35)/(2*AC35)</f>
        <v>8.22E-007</v>
      </c>
      <c r="AG35" s="70" t="n">
        <f aca="false">(AE35-AD35)/(2*AC35)</f>
        <v>1.69999999999999E-008</v>
      </c>
      <c r="AH35" s="103" t="n">
        <f aca="false">AG35/AF35</f>
        <v>0.0206812652068126</v>
      </c>
      <c r="AI35" s="105" t="s">
        <v>246</v>
      </c>
      <c r="AJ35" s="0"/>
      <c r="AK35" s="0"/>
      <c r="AL35" s="0"/>
      <c r="AM35" s="19" t="s">
        <v>110</v>
      </c>
      <c r="AN35" s="19" t="s">
        <v>123</v>
      </c>
      <c r="AO35" s="104" t="n">
        <v>40389</v>
      </c>
      <c r="AP35" s="70" t="n">
        <f aca="false">D35/K35</f>
        <v>1.0275</v>
      </c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115" customFormat="true" ht="15" hidden="false" customHeight="true" outlineLevel="0" collapsed="false">
      <c r="A36" s="114" t="n">
        <v>0.85</v>
      </c>
      <c r="B36" s="70" t="n">
        <f aca="false">C36/J36</f>
        <v>1.00078125</v>
      </c>
      <c r="C36" s="19" t="n">
        <f aca="false">1000000000*D36</f>
        <v>800.625</v>
      </c>
      <c r="D36" s="115" t="n">
        <v>8.00625E-007</v>
      </c>
      <c r="E36" s="115" t="n">
        <v>1.8125E-008</v>
      </c>
      <c r="F36" s="70" t="n">
        <f aca="false">E36/2</f>
        <v>9.06249999999999E-009</v>
      </c>
      <c r="G36" s="100" t="n">
        <f aca="false">E36/D36</f>
        <v>0.0226385636221702</v>
      </c>
      <c r="H36" s="100" t="n">
        <f aca="false">G36/2</f>
        <v>0.0113192818110851</v>
      </c>
      <c r="I36" s="116" t="n">
        <v>5</v>
      </c>
      <c r="J36" s="70" t="n">
        <f aca="false">1000000000*K36</f>
        <v>800</v>
      </c>
      <c r="K36" s="117" t="n">
        <v>8E-007</v>
      </c>
      <c r="L36" s="118" t="n">
        <v>1E-013</v>
      </c>
      <c r="M36" s="118" t="n">
        <f aca="false">L36*1000000000000</f>
        <v>0.1</v>
      </c>
      <c r="N36" s="115" t="s">
        <v>247</v>
      </c>
      <c r="Q36" s="124"/>
      <c r="R36" s="115" t="n">
        <v>0</v>
      </c>
      <c r="S36" s="115" t="s">
        <v>243</v>
      </c>
      <c r="T36" s="117" t="n">
        <f aca="false">A36/L36</f>
        <v>8500000000000</v>
      </c>
      <c r="U36" s="117" t="n">
        <f aca="false">I36*T36</f>
        <v>42500000000000</v>
      </c>
      <c r="V36" s="119" t="n">
        <f aca="false">I36*A36</f>
        <v>4.25</v>
      </c>
      <c r="W36" s="117" t="n">
        <f aca="false">AF36/K36</f>
        <v>1.00078125</v>
      </c>
      <c r="X36" s="151" t="n">
        <v>7.4E-007</v>
      </c>
      <c r="Y36" s="123" t="n">
        <v>8.8E-007</v>
      </c>
      <c r="Z36" s="124" t="n">
        <f aca="false">(X36+Y36)/2</f>
        <v>8.1E-007</v>
      </c>
      <c r="AA36" s="124" t="n">
        <f aca="false">(Y36-X36)/2</f>
        <v>7E-008</v>
      </c>
      <c r="AB36" s="152" t="n">
        <f aca="false">AA36/Z36</f>
        <v>0.0864197530864198</v>
      </c>
      <c r="AC36" s="116" t="n">
        <v>8</v>
      </c>
      <c r="AD36" s="123" t="n">
        <v>6.26E-006</v>
      </c>
      <c r="AE36" s="123" t="n">
        <v>6.55E-006</v>
      </c>
      <c r="AF36" s="124" t="n">
        <f aca="false">(AE36+AD36)/(2*AC36)</f>
        <v>8.00625E-007</v>
      </c>
      <c r="AG36" s="124" t="n">
        <f aca="false">(AE36-AD36)/(2*AC36)</f>
        <v>1.8125E-008</v>
      </c>
      <c r="AH36" s="125" t="n">
        <f aca="false">AG36/AF36</f>
        <v>0.0226385636221702</v>
      </c>
      <c r="AI36" s="115" t="s">
        <v>255</v>
      </c>
      <c r="AM36" s="19" t="s">
        <v>110</v>
      </c>
      <c r="AN36" s="19" t="s">
        <v>123</v>
      </c>
      <c r="AO36" s="127" t="n">
        <v>40245</v>
      </c>
      <c r="AP36" s="70" t="n">
        <f aca="false">D36/K36</f>
        <v>1.00078125</v>
      </c>
    </row>
    <row r="37" s="98" customFormat="true" ht="15" hidden="false" customHeight="true" outlineLevel="0" collapsed="false">
      <c r="A37" s="128" t="n">
        <v>0.1</v>
      </c>
      <c r="B37" s="70" t="n">
        <f aca="false">C37/J37</f>
        <v>0.97625</v>
      </c>
      <c r="C37" s="19" t="n">
        <f aca="false">1000000000*D37</f>
        <v>781</v>
      </c>
      <c r="D37" s="98" t="n">
        <v>7.81E-007</v>
      </c>
      <c r="E37" s="98" t="n">
        <v>3.2E-008</v>
      </c>
      <c r="F37" s="70" t="n">
        <f aca="false">E37/2</f>
        <v>1.6E-008</v>
      </c>
      <c r="G37" s="100" t="n">
        <f aca="false">E37/D37</f>
        <v>0.0409731113956466</v>
      </c>
      <c r="H37" s="100" t="n">
        <f aca="false">G37/2</f>
        <v>0.0204865556978233</v>
      </c>
      <c r="I37" s="153" t="n">
        <v>6</v>
      </c>
      <c r="J37" s="70" t="n">
        <f aca="false">1000000000*K37</f>
        <v>800</v>
      </c>
      <c r="K37" s="129" t="n">
        <v>8E-007</v>
      </c>
      <c r="L37" s="130" t="n">
        <v>1E-013</v>
      </c>
      <c r="M37" s="130" t="n">
        <f aca="false">L37*1000000000000</f>
        <v>0.1</v>
      </c>
      <c r="N37" s="98" t="s">
        <v>116</v>
      </c>
      <c r="R37" s="98" t="n">
        <v>0</v>
      </c>
      <c r="S37" s="98" t="s">
        <v>243</v>
      </c>
      <c r="T37" s="129" t="n">
        <f aca="false">A37/L37</f>
        <v>1000000000000</v>
      </c>
      <c r="U37" s="129" t="n">
        <f aca="false">I37*T37</f>
        <v>6000000000000</v>
      </c>
      <c r="V37" s="133" t="n">
        <f aca="false">I37*A37</f>
        <v>0.6</v>
      </c>
      <c r="W37" s="129" t="n">
        <f aca="false">AF37/K37</f>
        <v>0.97625</v>
      </c>
      <c r="X37" s="134"/>
      <c r="Y37" s="135"/>
      <c r="AB37" s="136"/>
      <c r="AC37" s="98" t="n">
        <v>10</v>
      </c>
      <c r="AD37" s="137" t="n">
        <v>7.49E-006</v>
      </c>
      <c r="AE37" s="137" t="n">
        <v>8.13E-006</v>
      </c>
      <c r="AF37" s="131" t="n">
        <f aca="false">(AE37+AD37)/(2*AC37)</f>
        <v>7.81E-007</v>
      </c>
      <c r="AG37" s="131" t="n">
        <f aca="false">(AE37-AD37)/(2*AC37)</f>
        <v>3.2E-008</v>
      </c>
      <c r="AH37" s="138" t="n">
        <f aca="false">AG37/AF37</f>
        <v>0.0409731113956466</v>
      </c>
      <c r="AI37" s="154" t="s">
        <v>246</v>
      </c>
      <c r="AM37" s="19" t="s">
        <v>110</v>
      </c>
      <c r="AN37" s="19" t="s">
        <v>123</v>
      </c>
      <c r="AO37" s="139" t="n">
        <v>40389</v>
      </c>
      <c r="AP37" s="70" t="n">
        <f aca="false">D37/K37</f>
        <v>0.97625</v>
      </c>
    </row>
    <row r="38" customFormat="false" ht="15" hidden="false" customHeight="true" outlineLevel="0" collapsed="false">
      <c r="A38" s="40" t="n">
        <v>0.2</v>
      </c>
      <c r="B38" s="70" t="n">
        <f aca="false">C38/J38</f>
        <v>0.904861111111111</v>
      </c>
      <c r="C38" s="19" t="n">
        <f aca="false">1000000000*D38</f>
        <v>723.888888888889</v>
      </c>
      <c r="D38" s="19" t="n">
        <v>7.23888888888889E-007</v>
      </c>
      <c r="E38" s="19" t="n">
        <v>1.05555555555556E-008</v>
      </c>
      <c r="F38" s="70" t="n">
        <f aca="false">E38/2</f>
        <v>5.27777777777777E-009</v>
      </c>
      <c r="G38" s="100" t="n">
        <f aca="false">E38/D38</f>
        <v>0.0145817344589409</v>
      </c>
      <c r="H38" s="100" t="n">
        <f aca="false">G38/2</f>
        <v>0.00729086722947045</v>
      </c>
      <c r="I38" s="19" t="n">
        <v>6</v>
      </c>
      <c r="J38" s="70" t="n">
        <f aca="false">1000000000*K38</f>
        <v>800</v>
      </c>
      <c r="K38" s="99" t="n">
        <v>8E-007</v>
      </c>
      <c r="L38" s="53" t="n">
        <v>1E-013</v>
      </c>
      <c r="M38" s="53" t="n">
        <f aca="false">L38*1000000000000</f>
        <v>0.1</v>
      </c>
      <c r="N38" s="19" t="s">
        <v>247</v>
      </c>
      <c r="O38" s="0"/>
      <c r="P38" s="0"/>
      <c r="Q38" s="0"/>
      <c r="R38" s="19" t="n">
        <v>0</v>
      </c>
      <c r="S38" s="19" t="s">
        <v>243</v>
      </c>
      <c r="T38" s="99" t="n">
        <f aca="false">A38/L38</f>
        <v>2000000000000</v>
      </c>
      <c r="U38" s="99" t="n">
        <f aca="false">I38*T38</f>
        <v>12000000000000</v>
      </c>
      <c r="V38" s="102" t="n">
        <f aca="false">I38*A38</f>
        <v>1.2</v>
      </c>
      <c r="W38" s="99" t="n">
        <f aca="false">AF38/K38</f>
        <v>0.904861111111111</v>
      </c>
      <c r="X38" s="44" t="n">
        <v>5.9E-007</v>
      </c>
      <c r="Y38" s="45" t="n">
        <v>8.2E-007</v>
      </c>
      <c r="Z38" s="70" t="n">
        <f aca="false">(X38+Y38)/2</f>
        <v>7.05E-007</v>
      </c>
      <c r="AA38" s="70" t="n">
        <f aca="false">(Y38-X38)/2</f>
        <v>1.15E-007</v>
      </c>
      <c r="AB38" s="111" t="n">
        <f aca="false">AA38/Z38</f>
        <v>0.163120567375887</v>
      </c>
      <c r="AC38" s="19" t="n">
        <v>9</v>
      </c>
      <c r="AD38" s="45" t="n">
        <v>6.42E-006</v>
      </c>
      <c r="AE38" s="45" t="n">
        <v>6.61E-006</v>
      </c>
      <c r="AF38" s="70" t="n">
        <f aca="false">(AE38+AD38)/(2*AC38)</f>
        <v>7.23888888888889E-007</v>
      </c>
      <c r="AG38" s="70" t="n">
        <f aca="false">(AE38-AD38)/(2*AC38)</f>
        <v>1.05555555555556E-008</v>
      </c>
      <c r="AH38" s="103" t="n">
        <f aca="false">AG38/AF38</f>
        <v>0.014581734458941</v>
      </c>
      <c r="AI38" s="19" t="s">
        <v>256</v>
      </c>
      <c r="AJ38" s="19" t="s">
        <v>257</v>
      </c>
      <c r="AK38" s="0"/>
      <c r="AL38" s="0"/>
      <c r="AM38" s="19" t="s">
        <v>110</v>
      </c>
      <c r="AN38" s="19" t="s">
        <v>123</v>
      </c>
      <c r="AO38" s="139" t="n">
        <v>40253</v>
      </c>
      <c r="AP38" s="70" t="n">
        <f aca="false">D38/K38</f>
        <v>0.904861111111111</v>
      </c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s="107" customFormat="true" ht="15" hidden="false" customHeight="true" outlineLevel="0" collapsed="false">
      <c r="A39" s="40" t="n">
        <v>0.2</v>
      </c>
      <c r="B39" s="70" t="n">
        <f aca="false">C39/J39</f>
        <v>1.02125</v>
      </c>
      <c r="C39" s="19" t="n">
        <f aca="false">1000000000*D39</f>
        <v>817</v>
      </c>
      <c r="D39" s="19" t="n">
        <v>8.17E-007</v>
      </c>
      <c r="E39" s="19" t="n">
        <v>7.5E-008</v>
      </c>
      <c r="F39" s="70" t="n">
        <f aca="false">E39/2</f>
        <v>3.75E-008</v>
      </c>
      <c r="G39" s="100" t="n">
        <f aca="false">E39/D39</f>
        <v>0.0917992656058751</v>
      </c>
      <c r="H39" s="100" t="n">
        <f aca="false">G39/2</f>
        <v>0.0458996328029376</v>
      </c>
      <c r="I39" s="64" t="n">
        <v>6</v>
      </c>
      <c r="J39" s="70" t="n">
        <f aca="false">1000000000*K39</f>
        <v>800</v>
      </c>
      <c r="K39" s="99" t="n">
        <v>8E-007</v>
      </c>
      <c r="L39" s="53" t="n">
        <v>1E-013</v>
      </c>
      <c r="M39" s="53" t="n">
        <f aca="false">L39*1000000000000</f>
        <v>0.1</v>
      </c>
      <c r="N39" s="19" t="s">
        <v>116</v>
      </c>
      <c r="O39" s="19"/>
      <c r="P39" s="19"/>
      <c r="Q39" s="19"/>
      <c r="R39" s="19" t="n">
        <v>0</v>
      </c>
      <c r="S39" s="19" t="s">
        <v>243</v>
      </c>
      <c r="T39" s="99" t="n">
        <f aca="false">A39/L39</f>
        <v>2000000000000</v>
      </c>
      <c r="U39" s="99" t="n">
        <f aca="false">I39*T39</f>
        <v>12000000000000</v>
      </c>
      <c r="V39" s="102" t="n">
        <f aca="false">I39*A39</f>
        <v>1.2</v>
      </c>
      <c r="W39" s="99" t="n">
        <f aca="false">AF39/K39</f>
        <v>1.02125</v>
      </c>
      <c r="X39" s="38"/>
      <c r="Y39" s="17"/>
      <c r="Z39" s="19"/>
      <c r="AA39" s="19"/>
      <c r="AB39" s="41"/>
      <c r="AC39" s="19" t="n">
        <v>5</v>
      </c>
      <c r="AD39" s="45" t="n">
        <v>3.71E-006</v>
      </c>
      <c r="AE39" s="45" t="n">
        <v>4.46E-006</v>
      </c>
      <c r="AF39" s="70" t="n">
        <f aca="false">(AE39+AD39)/(2*AC39)</f>
        <v>8.17E-007</v>
      </c>
      <c r="AG39" s="70" t="n">
        <f aca="false">(AE39-AD39)/(2*AC39)</f>
        <v>7.5E-008</v>
      </c>
      <c r="AH39" s="103" t="n">
        <f aca="false">AG39/AF39</f>
        <v>0.0917992656058751</v>
      </c>
      <c r="AI39" s="105" t="s">
        <v>246</v>
      </c>
      <c r="AJ39" s="19"/>
      <c r="AK39" s="19"/>
      <c r="AL39" s="19"/>
      <c r="AM39" s="19" t="s">
        <v>110</v>
      </c>
      <c r="AN39" s="19" t="s">
        <v>123</v>
      </c>
      <c r="AO39" s="104" t="n">
        <v>40389</v>
      </c>
      <c r="AP39" s="70" t="n">
        <f aca="false">D39/K39</f>
        <v>1.02125</v>
      </c>
      <c r="AQ39" s="19"/>
      <c r="AR39" s="19"/>
      <c r="AS39" s="19"/>
      <c r="AT39" s="19"/>
      <c r="AU39" s="19"/>
      <c r="AV39" s="19"/>
      <c r="AW39" s="19"/>
      <c r="AX39" s="19"/>
    </row>
    <row r="40" customFormat="false" ht="15" hidden="false" customHeight="true" outlineLevel="0" collapsed="false">
      <c r="A40" s="40" t="n">
        <v>0.288</v>
      </c>
      <c r="B40" s="70" t="n">
        <f aca="false">C40/J40</f>
        <v>0.89375</v>
      </c>
      <c r="C40" s="19" t="n">
        <f aca="false">1000000000*D40</f>
        <v>715</v>
      </c>
      <c r="D40" s="19" t="n">
        <v>7.15E-007</v>
      </c>
      <c r="E40" s="19" t="n">
        <v>1.9E-008</v>
      </c>
      <c r="F40" s="70" t="n">
        <f aca="false">E40/2</f>
        <v>9.49999999999999E-009</v>
      </c>
      <c r="G40" s="100" t="n">
        <f aca="false">E40/D40</f>
        <v>0.0265734265734266</v>
      </c>
      <c r="H40" s="100" t="n">
        <f aca="false">G40/2</f>
        <v>0.0132867132867133</v>
      </c>
      <c r="I40" s="64" t="n">
        <v>6</v>
      </c>
      <c r="J40" s="70" t="n">
        <f aca="false">1000000000*K40</f>
        <v>800</v>
      </c>
      <c r="K40" s="99" t="n">
        <v>8E-007</v>
      </c>
      <c r="L40" s="53" t="n">
        <v>1E-013</v>
      </c>
      <c r="M40" s="53" t="n">
        <f aca="false">L40*1000000000000</f>
        <v>0.1</v>
      </c>
      <c r="N40" s="19" t="s">
        <v>247</v>
      </c>
      <c r="R40" s="19" t="n">
        <v>0</v>
      </c>
      <c r="S40" s="19" t="s">
        <v>243</v>
      </c>
      <c r="T40" s="99" t="n">
        <f aca="false">A40/L40</f>
        <v>2880000000000</v>
      </c>
      <c r="U40" s="99" t="n">
        <f aca="false">I40*T40</f>
        <v>17280000000000</v>
      </c>
      <c r="V40" s="102" t="n">
        <f aca="false">I40*A40</f>
        <v>1.728</v>
      </c>
      <c r="W40" s="99" t="n">
        <f aca="false">AF40/K40</f>
        <v>0.89375</v>
      </c>
      <c r="X40" s="38"/>
      <c r="AB40" s="41"/>
      <c r="AC40" s="64" t="n">
        <v>5</v>
      </c>
      <c r="AD40" s="45" t="n">
        <v>3.48E-006</v>
      </c>
      <c r="AE40" s="45" t="n">
        <v>3.67E-006</v>
      </c>
      <c r="AF40" s="70" t="n">
        <f aca="false">(AE40+AD40)/(2*AC40)</f>
        <v>7.15E-007</v>
      </c>
      <c r="AG40" s="70" t="n">
        <f aca="false">(AE40-AD40)/(2*AC40)</f>
        <v>1.9E-008</v>
      </c>
      <c r="AH40" s="103" t="n">
        <f aca="false">AG40/AF40</f>
        <v>0.0265734265734266</v>
      </c>
      <c r="AI40" s="19" t="s">
        <v>258</v>
      </c>
      <c r="AM40" s="19" t="s">
        <v>110</v>
      </c>
      <c r="AN40" s="19" t="s">
        <v>123</v>
      </c>
      <c r="AO40" s="104" t="n">
        <v>40245</v>
      </c>
      <c r="AP40" s="70" t="n">
        <f aca="false">D40/K40</f>
        <v>0.89375</v>
      </c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5" hidden="false" customHeight="true" outlineLevel="0" collapsed="false">
      <c r="A41" s="106" t="n">
        <v>0.313</v>
      </c>
      <c r="B41" s="70" t="n">
        <f aca="false">C41/J41</f>
        <v>0.9796875</v>
      </c>
      <c r="C41" s="107" t="n">
        <f aca="false">1000000000*D41</f>
        <v>783.75</v>
      </c>
      <c r="D41" s="107" t="n">
        <v>7.8375E-007</v>
      </c>
      <c r="E41" s="107" t="n">
        <v>6.24999999999999E-009</v>
      </c>
      <c r="F41" s="70" t="n">
        <f aca="false">E41/2</f>
        <v>3.125E-009</v>
      </c>
      <c r="G41" s="100" t="n">
        <f aca="false">E41/D41</f>
        <v>0.00797448165869218</v>
      </c>
      <c r="H41" s="100" t="n">
        <f aca="false">G41/2</f>
        <v>0.00398724082934609</v>
      </c>
      <c r="I41" s="108" t="n">
        <v>6</v>
      </c>
      <c r="J41" s="70" t="n">
        <f aca="false">1000000000*K41</f>
        <v>800</v>
      </c>
      <c r="K41" s="109" t="n">
        <v>8E-007</v>
      </c>
      <c r="L41" s="82" t="n">
        <v>1E-013</v>
      </c>
      <c r="M41" s="82" t="n">
        <f aca="false">L41*1000000000000</f>
        <v>0.1</v>
      </c>
      <c r="N41" s="107" t="s">
        <v>247</v>
      </c>
      <c r="O41" s="0"/>
      <c r="P41" s="0"/>
      <c r="Q41" s="0"/>
      <c r="R41" s="107" t="n">
        <v>0</v>
      </c>
      <c r="S41" s="107" t="s">
        <v>243</v>
      </c>
      <c r="T41" s="109" t="n">
        <f aca="false">A41/L41</f>
        <v>3130000000000</v>
      </c>
      <c r="U41" s="109" t="n">
        <f aca="false">I41*T41</f>
        <v>18780000000000</v>
      </c>
      <c r="V41" s="110" t="n">
        <f aca="false">I41*A41</f>
        <v>1.878</v>
      </c>
      <c r="W41" s="109" t="n">
        <f aca="false">AF41/K41</f>
        <v>0.9796875</v>
      </c>
      <c r="X41" s="106"/>
      <c r="Y41" s="0"/>
      <c r="Z41" s="0"/>
      <c r="AA41" s="0"/>
      <c r="AB41" s="140"/>
      <c r="AC41" s="108" t="n">
        <v>8</v>
      </c>
      <c r="AD41" s="20" t="n">
        <v>6.22E-006</v>
      </c>
      <c r="AE41" s="20" t="n">
        <v>6.32E-006</v>
      </c>
      <c r="AF41" s="20" t="n">
        <f aca="false">(AE41+AD41)/(2*AC41)</f>
        <v>7.8375E-007</v>
      </c>
      <c r="AG41" s="20" t="n">
        <f aca="false">(AE41-AD41)/(2*AC41)</f>
        <v>6.24999999999994E-009</v>
      </c>
      <c r="AH41" s="112" t="n">
        <f aca="false">AG41/AF41</f>
        <v>0.00797448165869211</v>
      </c>
      <c r="AI41" s="107" t="s">
        <v>248</v>
      </c>
      <c r="AJ41" s="0"/>
      <c r="AK41" s="0"/>
      <c r="AL41" s="0"/>
      <c r="AM41" s="107" t="s">
        <v>110</v>
      </c>
      <c r="AN41" s="107" t="s">
        <v>123</v>
      </c>
      <c r="AO41" s="113" t="n">
        <v>40245</v>
      </c>
      <c r="AP41" s="70" t="n">
        <f aca="false">D41/K41</f>
        <v>0.9796875</v>
      </c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5" hidden="false" customHeight="true" outlineLevel="0" collapsed="false">
      <c r="A42" s="40" t="n">
        <v>0.5</v>
      </c>
      <c r="B42" s="70" t="n">
        <f aca="false">C42/J42</f>
        <v>1.0328125</v>
      </c>
      <c r="C42" s="19" t="n">
        <f aca="false">1000000000*D42</f>
        <v>826.25</v>
      </c>
      <c r="D42" s="19" t="n">
        <v>8.2625E-007</v>
      </c>
      <c r="E42" s="19" t="n">
        <v>6.625E-008</v>
      </c>
      <c r="F42" s="70" t="n">
        <f aca="false">E42/2</f>
        <v>3.3125E-008</v>
      </c>
      <c r="G42" s="100" t="n">
        <f aca="false">E42/D42</f>
        <v>0.0801815431164902</v>
      </c>
      <c r="H42" s="100" t="n">
        <f aca="false">G42/2</f>
        <v>0.0400907715582451</v>
      </c>
      <c r="I42" s="64" t="n">
        <v>6</v>
      </c>
      <c r="J42" s="70" t="n">
        <f aca="false">1000000000*K42</f>
        <v>800</v>
      </c>
      <c r="K42" s="99" t="n">
        <v>8E-007</v>
      </c>
      <c r="L42" s="53" t="n">
        <v>1E-013</v>
      </c>
      <c r="M42" s="53" t="n">
        <f aca="false">L42*1000000000000</f>
        <v>0.1</v>
      </c>
      <c r="N42" s="19" t="s">
        <v>116</v>
      </c>
      <c r="R42" s="19" t="n">
        <v>0</v>
      </c>
      <c r="S42" s="19" t="s">
        <v>243</v>
      </c>
      <c r="T42" s="99" t="n">
        <f aca="false">A42/L42</f>
        <v>5000000000000</v>
      </c>
      <c r="U42" s="99" t="n">
        <f aca="false">I42*T42</f>
        <v>30000000000000</v>
      </c>
      <c r="V42" s="102" t="n">
        <f aca="false">I42*A42</f>
        <v>3</v>
      </c>
      <c r="W42" s="99" t="n">
        <f aca="false">AF42/K42</f>
        <v>1.0328125</v>
      </c>
      <c r="X42" s="38"/>
      <c r="AB42" s="41"/>
      <c r="AC42" s="19" t="n">
        <v>4</v>
      </c>
      <c r="AD42" s="45" t="n">
        <v>3.04E-006</v>
      </c>
      <c r="AE42" s="45" t="n">
        <v>3.57E-006</v>
      </c>
      <c r="AF42" s="70" t="n">
        <f aca="false">(AE42+AD42)/(2*AC42)</f>
        <v>8.2625E-007</v>
      </c>
      <c r="AG42" s="70" t="n">
        <f aca="false">(AE42-AD42)/(2*AC42)</f>
        <v>6.62500000000001E-008</v>
      </c>
      <c r="AH42" s="103" t="n">
        <f aca="false">AG42/AF42</f>
        <v>0.0801815431164902</v>
      </c>
      <c r="AI42" s="105" t="s">
        <v>246</v>
      </c>
      <c r="AM42" s="19" t="s">
        <v>110</v>
      </c>
      <c r="AN42" s="19" t="s">
        <v>123</v>
      </c>
      <c r="AO42" s="104" t="n">
        <v>40389</v>
      </c>
      <c r="AP42" s="70" t="n">
        <f aca="false">D42/K42</f>
        <v>1.0328125</v>
      </c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5" hidden="false" customHeight="true" outlineLevel="0" collapsed="false">
      <c r="A43" s="40" t="n">
        <v>0.85</v>
      </c>
      <c r="B43" s="70" t="n">
        <f aca="false">C43/J43</f>
        <v>1</v>
      </c>
      <c r="C43" s="19" t="n">
        <f aca="false">1000000000*D43</f>
        <v>800</v>
      </c>
      <c r="D43" s="19" t="n">
        <v>8E-007</v>
      </c>
      <c r="E43" s="19" t="n">
        <v>3E-008</v>
      </c>
      <c r="F43" s="70" t="n">
        <f aca="false">E43/2</f>
        <v>1.5E-008</v>
      </c>
      <c r="G43" s="100" t="n">
        <f aca="false">E43/D43</f>
        <v>0.0375</v>
      </c>
      <c r="H43" s="100" t="n">
        <f aca="false">G43/2</f>
        <v>0.01875</v>
      </c>
      <c r="I43" s="64" t="n">
        <v>6</v>
      </c>
      <c r="J43" s="70" t="n">
        <f aca="false">1000000000*K43</f>
        <v>800</v>
      </c>
      <c r="K43" s="99" t="n">
        <v>8E-007</v>
      </c>
      <c r="L43" s="53" t="n">
        <v>1E-013</v>
      </c>
      <c r="M43" s="53" t="n">
        <f aca="false">L43*1000000000000</f>
        <v>0.1</v>
      </c>
      <c r="N43" s="19" t="s">
        <v>247</v>
      </c>
      <c r="Q43" s="70"/>
      <c r="R43" s="19" t="n">
        <v>0</v>
      </c>
      <c r="S43" s="19" t="s">
        <v>243</v>
      </c>
      <c r="T43" s="99" t="n">
        <f aca="false">A43/L43</f>
        <v>8500000000000</v>
      </c>
      <c r="U43" s="99" t="n">
        <f aca="false">I43*T43</f>
        <v>51000000000000</v>
      </c>
      <c r="V43" s="102" t="n">
        <f aca="false">I43*A43</f>
        <v>5.1</v>
      </c>
      <c r="W43" s="99" t="n">
        <f aca="false">AF43/K43</f>
        <v>1</v>
      </c>
      <c r="X43" s="44" t="n">
        <v>7.1E-007</v>
      </c>
      <c r="Y43" s="45" t="n">
        <v>7.9E-007</v>
      </c>
      <c r="Z43" s="70" t="n">
        <f aca="false">(X43+Y43)/2</f>
        <v>7.5E-007</v>
      </c>
      <c r="AA43" s="70" t="n">
        <f aca="false">(Y43-X43)/2</f>
        <v>4E-008</v>
      </c>
      <c r="AB43" s="111" t="n">
        <f aca="false">AA43/Z43</f>
        <v>0.0533333333333333</v>
      </c>
      <c r="AC43" s="64" t="n">
        <v>4</v>
      </c>
      <c r="AD43" s="45" t="n">
        <v>3.08E-006</v>
      </c>
      <c r="AE43" s="45" t="n">
        <v>3.32E-006</v>
      </c>
      <c r="AF43" s="70" t="n">
        <f aca="false">(AE43+AD43)/(2*AC43)</f>
        <v>8E-007</v>
      </c>
      <c r="AG43" s="70" t="n">
        <f aca="false">(AE43-AD43)/(2*AC43)</f>
        <v>3E-008</v>
      </c>
      <c r="AH43" s="103" t="n">
        <f aca="false">AG43/AF43</f>
        <v>0.0375</v>
      </c>
      <c r="AI43" s="19" t="s">
        <v>255</v>
      </c>
      <c r="AM43" s="19" t="s">
        <v>110</v>
      </c>
      <c r="AN43" s="19" t="s">
        <v>123</v>
      </c>
      <c r="AO43" s="104" t="n">
        <v>40245</v>
      </c>
      <c r="AP43" s="70" t="n">
        <f aca="false">D43/K43</f>
        <v>1</v>
      </c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5" hidden="false" customHeight="true" outlineLevel="0" collapsed="false">
      <c r="A44" s="40" t="n">
        <v>0.1</v>
      </c>
      <c r="B44" s="70" t="n">
        <f aca="false">C44/J44</f>
        <v>0.904807692307692</v>
      </c>
      <c r="C44" s="19" t="n">
        <f aca="false">1000000000*D44</f>
        <v>723.846153846154</v>
      </c>
      <c r="D44" s="19" t="n">
        <v>7.23846153846154E-007</v>
      </c>
      <c r="E44" s="19" t="n">
        <v>6.15384615384615E-008</v>
      </c>
      <c r="F44" s="70" t="n">
        <f aca="false">E44/2</f>
        <v>3.07692307692308E-008</v>
      </c>
      <c r="G44" s="100" t="n">
        <f aca="false">E44/D44</f>
        <v>0.0850159404888417</v>
      </c>
      <c r="H44" s="100" t="n">
        <f aca="false">G44/2</f>
        <v>0.0425079702444208</v>
      </c>
      <c r="I44" s="64" t="n">
        <v>7</v>
      </c>
      <c r="J44" s="70" t="n">
        <f aca="false">1000000000*K44</f>
        <v>800</v>
      </c>
      <c r="K44" s="99" t="n">
        <v>8E-007</v>
      </c>
      <c r="L44" s="53" t="n">
        <v>1E-013</v>
      </c>
      <c r="M44" s="53" t="n">
        <f aca="false">L44*1000000000000</f>
        <v>0.1</v>
      </c>
      <c r="N44" s="19" t="s">
        <v>116</v>
      </c>
      <c r="R44" s="19" t="n">
        <v>0</v>
      </c>
      <c r="S44" s="19" t="s">
        <v>243</v>
      </c>
      <c r="T44" s="99" t="n">
        <f aca="false">A44/L44</f>
        <v>1000000000000</v>
      </c>
      <c r="U44" s="99" t="n">
        <f aca="false">I44*T44</f>
        <v>7000000000000</v>
      </c>
      <c r="V44" s="102" t="n">
        <f aca="false">I44*A44</f>
        <v>0.7</v>
      </c>
      <c r="W44" s="99" t="n">
        <f aca="false">AF44/K44</f>
        <v>0.904807692307692</v>
      </c>
      <c r="X44" s="38"/>
      <c r="AB44" s="41"/>
      <c r="AC44" s="19" t="n">
        <v>13</v>
      </c>
      <c r="AD44" s="45" t="n">
        <v>8.61E-006</v>
      </c>
      <c r="AE44" s="45" t="n">
        <v>1.021E-005</v>
      </c>
      <c r="AF44" s="70" t="n">
        <f aca="false">(AE44+AD44)/(2*AC44)</f>
        <v>7.23846153846154E-007</v>
      </c>
      <c r="AG44" s="70" t="n">
        <f aca="false">(AE44-AD44)/(2*AC44)</f>
        <v>6.15384615384616E-008</v>
      </c>
      <c r="AH44" s="103" t="n">
        <f aca="false">AG44/AF44</f>
        <v>0.0850159404888417</v>
      </c>
      <c r="AI44" s="105" t="s">
        <v>246</v>
      </c>
      <c r="AM44" s="19" t="s">
        <v>110</v>
      </c>
      <c r="AN44" s="19" t="s">
        <v>123</v>
      </c>
      <c r="AO44" s="104" t="n">
        <v>40389</v>
      </c>
      <c r="AP44" s="70" t="n">
        <f aca="false">D44/K44</f>
        <v>0.904807692307692</v>
      </c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5" hidden="true" customHeight="true" outlineLevel="0" collapsed="false">
      <c r="A45" s="106" t="n">
        <v>0.313</v>
      </c>
      <c r="B45" s="0"/>
      <c r="C45" s="107" t="e">
        <f aca="false">1000000000*D45</f>
        <v>#VALUE!</v>
      </c>
      <c r="D45" s="107" t="s">
        <v>259</v>
      </c>
      <c r="E45" s="107" t="s">
        <v>259</v>
      </c>
      <c r="F45" s="0"/>
      <c r="G45" s="70" t="e">
        <f aca="false">E45/D45</f>
        <v>#VALUE!</v>
      </c>
      <c r="H45" s="100" t="e">
        <f aca="false">G45/2</f>
        <v>#VALUE!</v>
      </c>
      <c r="I45" s="108" t="n">
        <v>10</v>
      </c>
      <c r="J45" s="70" t="n">
        <f aca="false">1000000000*K45</f>
        <v>800</v>
      </c>
      <c r="K45" s="109" t="n">
        <v>8E-007</v>
      </c>
      <c r="L45" s="82" t="n">
        <v>1E-013</v>
      </c>
      <c r="M45" s="82" t="n">
        <f aca="false">L45*1000000000000</f>
        <v>0.1</v>
      </c>
      <c r="N45" s="107" t="s">
        <v>247</v>
      </c>
      <c r="O45" s="0"/>
      <c r="P45" s="0"/>
      <c r="Q45" s="0"/>
      <c r="R45" s="107" t="n">
        <v>0</v>
      </c>
      <c r="S45" s="107" t="s">
        <v>243</v>
      </c>
      <c r="T45" s="109" t="n">
        <f aca="false">A45/L45</f>
        <v>3130000000000</v>
      </c>
      <c r="U45" s="109" t="n">
        <f aca="false">I45*T45</f>
        <v>31300000000000</v>
      </c>
      <c r="V45" s="110" t="n">
        <f aca="false">I45*A45</f>
        <v>3.13</v>
      </c>
      <c r="W45" s="109" t="e">
        <f aca="false">AF45/K45</f>
        <v>#DIV/0!</v>
      </c>
      <c r="X45" s="106"/>
      <c r="Y45" s="0"/>
      <c r="Z45" s="0"/>
      <c r="AA45" s="0"/>
      <c r="AB45" s="140"/>
      <c r="AC45" s="108"/>
      <c r="AD45" s="20" t="n">
        <v>1.187E-005</v>
      </c>
      <c r="AE45" s="20" t="n">
        <v>1.206E-005</v>
      </c>
      <c r="AF45" s="20" t="e">
        <f aca="false">(AE45+AD45)/(2*AC45)</f>
        <v>#DIV/0!</v>
      </c>
      <c r="AG45" s="20" t="e">
        <f aca="false">(AE45-AD45)/(2*AC45)</f>
        <v>#DIV/0!</v>
      </c>
      <c r="AH45" s="112" t="e">
        <f aca="false">AG45/AF45</f>
        <v>#DIV/0!</v>
      </c>
      <c r="AI45" s="107" t="s">
        <v>248</v>
      </c>
      <c r="AJ45" s="0"/>
      <c r="AK45" s="0"/>
      <c r="AL45" s="0"/>
      <c r="AM45" s="107" t="s">
        <v>110</v>
      </c>
      <c r="AN45" s="107" t="s">
        <v>123</v>
      </c>
      <c r="AO45" s="113" t="n">
        <v>40245</v>
      </c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5" hidden="false" customHeight="true" outlineLevel="0" collapsed="false">
      <c r="A46" s="40" t="n">
        <v>0.2</v>
      </c>
      <c r="B46" s="70" t="n">
        <f aca="false">C46/J46</f>
        <v>0.91875</v>
      </c>
      <c r="C46" s="19" t="n">
        <f aca="false">1000000000*D46</f>
        <v>735</v>
      </c>
      <c r="D46" s="19" t="n">
        <v>7.35E-007</v>
      </c>
      <c r="E46" s="19" t="n">
        <v>8.5E-008</v>
      </c>
      <c r="F46" s="70" t="n">
        <f aca="false">E46/2</f>
        <v>4.25E-008</v>
      </c>
      <c r="G46" s="100" t="n">
        <f aca="false">E46/D46</f>
        <v>0.115646258503401</v>
      </c>
      <c r="H46" s="100" t="n">
        <f aca="false">G46/2</f>
        <v>0.0578231292517007</v>
      </c>
      <c r="I46" s="64" t="n">
        <v>7</v>
      </c>
      <c r="J46" s="70" t="n">
        <f aca="false">1000000000*K46</f>
        <v>800</v>
      </c>
      <c r="K46" s="99" t="n">
        <v>8E-007</v>
      </c>
      <c r="L46" s="53" t="n">
        <v>1E-013</v>
      </c>
      <c r="M46" s="53" t="n">
        <f aca="false">L46*1000000000000</f>
        <v>0.1</v>
      </c>
      <c r="N46" s="19" t="s">
        <v>247</v>
      </c>
      <c r="T46" s="99" t="n">
        <f aca="false">A46/L46</f>
        <v>2000000000000</v>
      </c>
      <c r="U46" s="99" t="n">
        <f aca="false">I46*T46</f>
        <v>14000000000000</v>
      </c>
      <c r="V46" s="102" t="n">
        <f aca="false">I46*A46</f>
        <v>1.4</v>
      </c>
      <c r="W46" s="99" t="n">
        <f aca="false">Z46/K46</f>
        <v>0.91875</v>
      </c>
      <c r="X46" s="44" t="n">
        <v>6.5E-007</v>
      </c>
      <c r="Y46" s="45" t="n">
        <v>8.2E-007</v>
      </c>
      <c r="Z46" s="70" t="n">
        <f aca="false">(X46+Y46)/2</f>
        <v>7.35E-007</v>
      </c>
      <c r="AA46" s="70" t="n">
        <f aca="false">(Y46-X46)/2</f>
        <v>8.5E-008</v>
      </c>
      <c r="AB46" s="111" t="n">
        <f aca="false">AA46/Z46</f>
        <v>0.115646258503401</v>
      </c>
      <c r="AF46" s="70" t="n">
        <v>7.35E-007</v>
      </c>
      <c r="AG46" s="70" t="n">
        <v>8.5E-008</v>
      </c>
      <c r="AH46" s="103" t="n">
        <v>0.115646258503401</v>
      </c>
      <c r="AM46" s="19" t="s">
        <v>110</v>
      </c>
      <c r="AN46" s="19" t="s">
        <v>123</v>
      </c>
      <c r="AO46" s="104" t="n">
        <v>40389</v>
      </c>
      <c r="AP46" s="70" t="n">
        <f aca="false">D46/K46</f>
        <v>0.91875</v>
      </c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s="155" customFormat="true" ht="15" hidden="false" customHeight="true" outlineLevel="0" collapsed="false">
      <c r="A47" s="114" t="n">
        <v>0.288</v>
      </c>
      <c r="B47" s="70" t="n">
        <f aca="false">C47/J47</f>
        <v>0.920833333333333</v>
      </c>
      <c r="C47" s="19" t="n">
        <f aca="false">1000000000*D47</f>
        <v>736.666666666667</v>
      </c>
      <c r="D47" s="115" t="n">
        <v>7.36666666666667E-007</v>
      </c>
      <c r="E47" s="115" t="n">
        <v>1.33333333333333E-008</v>
      </c>
      <c r="F47" s="70" t="n">
        <f aca="false">E47/2</f>
        <v>6.66666666666665E-009</v>
      </c>
      <c r="G47" s="100" t="n">
        <f aca="false">E47/D47</f>
        <v>0.0180995475113122</v>
      </c>
      <c r="H47" s="100" t="n">
        <f aca="false">G47/2</f>
        <v>0.00904977375565609</v>
      </c>
      <c r="I47" s="116" t="n">
        <v>7</v>
      </c>
      <c r="J47" s="70" t="n">
        <f aca="false">1000000000*K47</f>
        <v>800</v>
      </c>
      <c r="K47" s="117" t="n">
        <v>8E-007</v>
      </c>
      <c r="L47" s="118" t="n">
        <v>1E-013</v>
      </c>
      <c r="M47" s="118" t="n">
        <f aca="false">L47*1000000000000</f>
        <v>0.1</v>
      </c>
      <c r="N47" s="115" t="s">
        <v>247</v>
      </c>
      <c r="O47" s="115"/>
      <c r="P47" s="115"/>
      <c r="Q47" s="115"/>
      <c r="R47" s="115" t="n">
        <v>0</v>
      </c>
      <c r="S47" s="115" t="s">
        <v>243</v>
      </c>
      <c r="T47" s="117" t="n">
        <f aca="false">A47/L47</f>
        <v>2880000000000</v>
      </c>
      <c r="U47" s="117" t="n">
        <f aca="false">I47*T47</f>
        <v>20160000000000</v>
      </c>
      <c r="V47" s="119" t="n">
        <f aca="false">I47*A47</f>
        <v>2.016</v>
      </c>
      <c r="W47" s="117" t="n">
        <f aca="false">AF47/K47</f>
        <v>0.920833333333333</v>
      </c>
      <c r="X47" s="120"/>
      <c r="Y47" s="121"/>
      <c r="Z47" s="115"/>
      <c r="AA47" s="115"/>
      <c r="AB47" s="122"/>
      <c r="AC47" s="116" t="n">
        <v>9</v>
      </c>
      <c r="AD47" s="123" t="n">
        <v>6.51E-006</v>
      </c>
      <c r="AE47" s="123" t="n">
        <v>6.75E-006</v>
      </c>
      <c r="AF47" s="124" t="n">
        <f aca="false">(AE47+AD47)/(2*AC47)</f>
        <v>7.36666666666667E-007</v>
      </c>
      <c r="AG47" s="124" t="n">
        <f aca="false">(AE47-AD47)/(2*AC47)</f>
        <v>1.33333333333333E-008</v>
      </c>
      <c r="AH47" s="125" t="n">
        <f aca="false">AG47/AF47</f>
        <v>0.0180995475113122</v>
      </c>
      <c r="AI47" s="115" t="s">
        <v>258</v>
      </c>
      <c r="AJ47" s="115"/>
      <c r="AK47" s="115"/>
      <c r="AL47" s="115"/>
      <c r="AM47" s="19" t="s">
        <v>110</v>
      </c>
      <c r="AN47" s="19" t="s">
        <v>123</v>
      </c>
      <c r="AO47" s="127" t="n">
        <v>40245</v>
      </c>
      <c r="AP47" s="70" t="n">
        <f aca="false">D47/K47</f>
        <v>0.920833333333333</v>
      </c>
      <c r="AQ47" s="115"/>
      <c r="AR47" s="115"/>
      <c r="AS47" s="115"/>
      <c r="AT47" s="115"/>
      <c r="AU47" s="115"/>
      <c r="AV47" s="115"/>
      <c r="AW47" s="115"/>
      <c r="AX47" s="115"/>
    </row>
    <row r="48" s="142" customFormat="true" ht="15" hidden="false" customHeight="true" outlineLevel="0" collapsed="false">
      <c r="A48" s="141" t="n">
        <v>0.313</v>
      </c>
      <c r="B48" s="70" t="n">
        <f aca="false">C48/J48</f>
        <v>0.937916666666667</v>
      </c>
      <c r="C48" s="107" t="n">
        <f aca="false">1000000000*D48</f>
        <v>750.333333333333</v>
      </c>
      <c r="D48" s="142" t="n">
        <v>7.50333333333333E-007</v>
      </c>
      <c r="E48" s="142" t="n">
        <v>7.66666666666665E-009</v>
      </c>
      <c r="F48" s="70" t="n">
        <f aca="false">E48/2</f>
        <v>3.83333333333332E-009</v>
      </c>
      <c r="G48" s="100" t="n">
        <f aca="false">E48/D48</f>
        <v>0.010217681030653</v>
      </c>
      <c r="H48" s="100" t="n">
        <f aca="false">G48/2</f>
        <v>0.00510884051532651</v>
      </c>
      <c r="I48" s="143" t="n">
        <v>7</v>
      </c>
      <c r="J48" s="70" t="n">
        <f aca="false">1000000000*K48</f>
        <v>800</v>
      </c>
      <c r="K48" s="144" t="n">
        <v>8E-007</v>
      </c>
      <c r="L48" s="145" t="n">
        <v>1E-013</v>
      </c>
      <c r="M48" s="145" t="n">
        <f aca="false">L48*1000000000000</f>
        <v>0.1</v>
      </c>
      <c r="N48" s="142" t="s">
        <v>247</v>
      </c>
      <c r="R48" s="142" t="n">
        <v>0</v>
      </c>
      <c r="S48" s="142" t="s">
        <v>243</v>
      </c>
      <c r="T48" s="144" t="n">
        <f aca="false">A48/L48</f>
        <v>3130000000000</v>
      </c>
      <c r="U48" s="144" t="n">
        <f aca="false">I48*T48</f>
        <v>21910000000000</v>
      </c>
      <c r="V48" s="146" t="n">
        <f aca="false">I48*A48</f>
        <v>2.191</v>
      </c>
      <c r="W48" s="144" t="n">
        <f aca="false">AF48/K48</f>
        <v>0.937916666666667</v>
      </c>
      <c r="X48" s="141"/>
      <c r="AB48" s="147"/>
      <c r="AC48" s="143" t="n">
        <v>15</v>
      </c>
      <c r="AD48" s="148" t="n">
        <v>1.114E-005</v>
      </c>
      <c r="AE48" s="148" t="n">
        <v>1.137E-005</v>
      </c>
      <c r="AF48" s="148" t="n">
        <f aca="false">(AE48+AD48)/(2*AC48)</f>
        <v>7.50333333333334E-007</v>
      </c>
      <c r="AG48" s="148" t="n">
        <f aca="false">(AE48-AD48)/(2*AC48)</f>
        <v>7.66666666666665E-009</v>
      </c>
      <c r="AH48" s="149" t="n">
        <f aca="false">AG48/AF48</f>
        <v>0.010217681030653</v>
      </c>
      <c r="AI48" s="142" t="s">
        <v>248</v>
      </c>
      <c r="AM48" s="107" t="s">
        <v>110</v>
      </c>
      <c r="AN48" s="107" t="s">
        <v>123</v>
      </c>
      <c r="AO48" s="150" t="n">
        <v>40245</v>
      </c>
      <c r="AP48" s="70" t="n">
        <f aca="false">D48/K48</f>
        <v>0.937916666666667</v>
      </c>
    </row>
    <row r="49" s="107" customFormat="true" ht="15" hidden="false" customHeight="true" outlineLevel="0" collapsed="false">
      <c r="A49" s="40" t="n">
        <v>0.1</v>
      </c>
      <c r="B49" s="70" t="n">
        <f aca="false">C49/J49</f>
        <v>0.932386363636364</v>
      </c>
      <c r="C49" s="19" t="n">
        <f aca="false">1000000000*D49</f>
        <v>745.909090909091</v>
      </c>
      <c r="D49" s="19" t="n">
        <v>7.45909090909091E-007</v>
      </c>
      <c r="E49" s="19" t="n">
        <v>1.68181818181818E-008</v>
      </c>
      <c r="F49" s="70" t="n">
        <f aca="false">E49/2</f>
        <v>8.40909090909091E-009</v>
      </c>
      <c r="G49" s="100" t="n">
        <f aca="false">E49/D49</f>
        <v>0.0225472273004266</v>
      </c>
      <c r="H49" s="100" t="n">
        <f aca="false">G49/2</f>
        <v>0.0112736136502133</v>
      </c>
      <c r="I49" s="64" t="n">
        <v>8</v>
      </c>
      <c r="J49" s="70" t="n">
        <f aca="false">1000000000*K49</f>
        <v>800</v>
      </c>
      <c r="K49" s="99" t="n">
        <v>8E-007</v>
      </c>
      <c r="L49" s="53" t="n">
        <v>1E-013</v>
      </c>
      <c r="M49" s="53" t="n">
        <f aca="false">L49*1000000000000</f>
        <v>0.1</v>
      </c>
      <c r="N49" s="19" t="s">
        <v>116</v>
      </c>
      <c r="O49" s="19"/>
      <c r="P49" s="19"/>
      <c r="Q49" s="19"/>
      <c r="R49" s="19" t="n">
        <v>0</v>
      </c>
      <c r="S49" s="19" t="s">
        <v>243</v>
      </c>
      <c r="T49" s="99" t="n">
        <f aca="false">A49/L49</f>
        <v>1000000000000</v>
      </c>
      <c r="U49" s="99" t="n">
        <f aca="false">I49*T49</f>
        <v>8000000000000</v>
      </c>
      <c r="V49" s="102" t="n">
        <f aca="false">I49*A49</f>
        <v>0.8</v>
      </c>
      <c r="W49" s="99" t="n">
        <f aca="false">AF49/K49</f>
        <v>0.932386363636364</v>
      </c>
      <c r="X49" s="38"/>
      <c r="Y49" s="17"/>
      <c r="Z49" s="19"/>
      <c r="AA49" s="19"/>
      <c r="AB49" s="41"/>
      <c r="AC49" s="19" t="n">
        <v>11</v>
      </c>
      <c r="AD49" s="45" t="n">
        <v>8.02E-006</v>
      </c>
      <c r="AE49" s="45" t="n">
        <v>8.39E-006</v>
      </c>
      <c r="AF49" s="70" t="n">
        <f aca="false">(AE49+AD49)/(2*AC49)</f>
        <v>7.45909090909091E-007</v>
      </c>
      <c r="AG49" s="70" t="n">
        <f aca="false">(AE49-AD49)/(2*AC49)</f>
        <v>1.68181818181817E-008</v>
      </c>
      <c r="AH49" s="103" t="n">
        <f aca="false">AG49/AF49</f>
        <v>0.0225472273004265</v>
      </c>
      <c r="AI49" s="105" t="s">
        <v>246</v>
      </c>
      <c r="AJ49" s="19"/>
      <c r="AK49" s="19"/>
      <c r="AL49" s="19"/>
      <c r="AM49" s="19" t="s">
        <v>110</v>
      </c>
      <c r="AN49" s="19" t="s">
        <v>123</v>
      </c>
      <c r="AO49" s="104" t="n">
        <v>40389</v>
      </c>
      <c r="AP49" s="70" t="n">
        <f aca="false">D49/K49</f>
        <v>0.932386363636364</v>
      </c>
      <c r="AQ49" s="19"/>
      <c r="AR49" s="19"/>
      <c r="AS49" s="19"/>
      <c r="AT49" s="19"/>
      <c r="AU49" s="19"/>
      <c r="AV49" s="19"/>
      <c r="AW49" s="19"/>
      <c r="AX49" s="19"/>
    </row>
    <row r="50" customFormat="false" ht="15" hidden="false" customHeight="true" outlineLevel="0" collapsed="false">
      <c r="A50" s="40" t="n">
        <v>0.2</v>
      </c>
      <c r="B50" s="70" t="n">
        <f aca="false">C50/J50</f>
        <v>0.954807692307692</v>
      </c>
      <c r="C50" s="19" t="n">
        <f aca="false">1000000000*D50</f>
        <v>763.846153846154</v>
      </c>
      <c r="D50" s="19" t="n">
        <v>7.63846153846154E-007</v>
      </c>
      <c r="E50" s="19" t="n">
        <v>3.46153846153849E-009</v>
      </c>
      <c r="F50" s="70" t="n">
        <f aca="false">E50/2</f>
        <v>1.73076923076925E-009</v>
      </c>
      <c r="G50" s="100" t="n">
        <f aca="false">E50/D50</f>
        <v>0.00453172205438071</v>
      </c>
      <c r="H50" s="100" t="n">
        <f aca="false">G50/2</f>
        <v>0.00226586102719035</v>
      </c>
      <c r="I50" s="19" t="n">
        <v>8</v>
      </c>
      <c r="J50" s="70" t="n">
        <f aca="false">1000000000*K50</f>
        <v>800</v>
      </c>
      <c r="K50" s="99" t="n">
        <v>8E-007</v>
      </c>
      <c r="L50" s="53" t="n">
        <v>1E-013</v>
      </c>
      <c r="M50" s="53" t="n">
        <f aca="false">L50*1000000000000</f>
        <v>0.1</v>
      </c>
      <c r="N50" s="19" t="s">
        <v>247</v>
      </c>
      <c r="O50" s="0"/>
      <c r="P50" s="0"/>
      <c r="Q50" s="0"/>
      <c r="R50" s="19" t="n">
        <v>0</v>
      </c>
      <c r="S50" s="19" t="s">
        <v>243</v>
      </c>
      <c r="T50" s="99" t="n">
        <f aca="false">A50/L50</f>
        <v>2000000000000</v>
      </c>
      <c r="U50" s="99" t="n">
        <f aca="false">I50*T50</f>
        <v>16000000000000</v>
      </c>
      <c r="V50" s="102" t="n">
        <f aca="false">I50*A50</f>
        <v>1.6</v>
      </c>
      <c r="W50" s="99" t="n">
        <f aca="false">AF50/K50</f>
        <v>0.954807692307692</v>
      </c>
      <c r="X50" s="44" t="n">
        <v>6.3E-007</v>
      </c>
      <c r="Y50" s="45" t="n">
        <v>8.7E-007</v>
      </c>
      <c r="Z50" s="70" t="n">
        <f aca="false">(X50+Y50)/2</f>
        <v>7.5E-007</v>
      </c>
      <c r="AA50" s="70" t="n">
        <f aca="false">(Y50-X50)/2</f>
        <v>1.2E-007</v>
      </c>
      <c r="AB50" s="111" t="n">
        <f aca="false">AA50/Z50</f>
        <v>0.16</v>
      </c>
      <c r="AC50" s="19" t="n">
        <v>26</v>
      </c>
      <c r="AD50" s="45" t="n">
        <v>1.977E-005</v>
      </c>
      <c r="AE50" s="45" t="n">
        <v>1.995E-005</v>
      </c>
      <c r="AF50" s="70" t="n">
        <f aca="false">(AE50+AD50)/(2*AC50)</f>
        <v>7.63846153846154E-007</v>
      </c>
      <c r="AG50" s="70" t="n">
        <f aca="false">(AE50-AD50)/(2*AC50)</f>
        <v>3.46153846153856E-009</v>
      </c>
      <c r="AH50" s="103" t="n">
        <f aca="false">AG50/AF50</f>
        <v>0.00453172205438079</v>
      </c>
      <c r="AI50" s="19" t="s">
        <v>256</v>
      </c>
      <c r="AJ50" s="19" t="s">
        <v>257</v>
      </c>
      <c r="AK50" s="0"/>
      <c r="AL50" s="0"/>
      <c r="AM50" s="19" t="s">
        <v>110</v>
      </c>
      <c r="AN50" s="19" t="s">
        <v>123</v>
      </c>
      <c r="AO50" s="104" t="n">
        <v>40253</v>
      </c>
      <c r="AP50" s="70" t="n">
        <f aca="false">D50/K50</f>
        <v>0.954807692307692</v>
      </c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5" hidden="false" customHeight="true" outlineLevel="0" collapsed="false">
      <c r="A51" s="106" t="n">
        <v>0.313</v>
      </c>
      <c r="B51" s="70" t="n">
        <f aca="false">C51/J51</f>
        <v>0.99375</v>
      </c>
      <c r="C51" s="107" t="n">
        <f aca="false">1000000000*D51</f>
        <v>795</v>
      </c>
      <c r="D51" s="107" t="n">
        <v>7.95E-007</v>
      </c>
      <c r="E51" s="107" t="n">
        <v>1.38888888888889E-008</v>
      </c>
      <c r="F51" s="70" t="n">
        <f aca="false">E51/2</f>
        <v>6.94444444444445E-009</v>
      </c>
      <c r="G51" s="100" t="n">
        <f aca="false">E51/D51</f>
        <v>0.0174703004891684</v>
      </c>
      <c r="H51" s="100" t="n">
        <f aca="false">G51/2</f>
        <v>0.00873515024458421</v>
      </c>
      <c r="I51" s="108" t="n">
        <v>8</v>
      </c>
      <c r="J51" s="70" t="n">
        <f aca="false">1000000000*K51</f>
        <v>800</v>
      </c>
      <c r="K51" s="109" t="n">
        <v>8E-007</v>
      </c>
      <c r="L51" s="82" t="n">
        <v>1E-013</v>
      </c>
      <c r="M51" s="82" t="n">
        <f aca="false">L51*1000000000000</f>
        <v>0.1</v>
      </c>
      <c r="N51" s="107" t="s">
        <v>247</v>
      </c>
      <c r="O51" s="107"/>
      <c r="P51" s="107"/>
      <c r="Q51" s="107"/>
      <c r="R51" s="107" t="n">
        <v>0</v>
      </c>
      <c r="S51" s="107" t="s">
        <v>243</v>
      </c>
      <c r="T51" s="109" t="n">
        <f aca="false">A51/L51</f>
        <v>3130000000000</v>
      </c>
      <c r="U51" s="109" t="n">
        <f aca="false">I51*T51</f>
        <v>25040000000000</v>
      </c>
      <c r="V51" s="110" t="n">
        <f aca="false">I51*A51</f>
        <v>2.504</v>
      </c>
      <c r="W51" s="109" t="n">
        <f aca="false">AF51/K51</f>
        <v>0.99375</v>
      </c>
      <c r="X51" s="106"/>
      <c r="Y51" s="107"/>
      <c r="Z51" s="107"/>
      <c r="AA51" s="107"/>
      <c r="AB51" s="140"/>
      <c r="AC51" s="108" t="n">
        <v>9</v>
      </c>
      <c r="AD51" s="20" t="n">
        <v>7.03E-006</v>
      </c>
      <c r="AE51" s="20" t="n">
        <v>7.28E-006</v>
      </c>
      <c r="AF51" s="20" t="n">
        <f aca="false">(AE51+AD51)/(2*AC51)</f>
        <v>7.95E-007</v>
      </c>
      <c r="AG51" s="20" t="n">
        <f aca="false">(AE51-AD51)/(2*AC51)</f>
        <v>1.38888888888889E-008</v>
      </c>
      <c r="AH51" s="112" t="n">
        <f aca="false">AG51/AF51</f>
        <v>0.0174703004891684</v>
      </c>
      <c r="AI51" s="107" t="s">
        <v>248</v>
      </c>
      <c r="AJ51" s="107"/>
      <c r="AK51" s="107"/>
      <c r="AL51" s="107"/>
      <c r="AM51" s="107" t="s">
        <v>110</v>
      </c>
      <c r="AN51" s="107" t="s">
        <v>123</v>
      </c>
      <c r="AO51" s="113" t="n">
        <v>40245</v>
      </c>
      <c r="AP51" s="70" t="n">
        <f aca="false">D51/K51</f>
        <v>0.99375</v>
      </c>
      <c r="AQ51" s="107"/>
      <c r="AR51" s="107"/>
      <c r="AS51" s="107"/>
      <c r="AT51" s="107"/>
      <c r="AU51" s="107"/>
      <c r="AV51" s="107"/>
      <c r="AW51" s="107"/>
      <c r="AX51" s="107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5" hidden="false" customHeight="true" outlineLevel="0" collapsed="false">
      <c r="A52" s="40" t="n">
        <v>0.1</v>
      </c>
      <c r="B52" s="70" t="n">
        <f aca="false">C52/J52</f>
        <v>1.00572916666667</v>
      </c>
      <c r="C52" s="19" t="n">
        <f aca="false">1000000000*D52</f>
        <v>804.583333333333</v>
      </c>
      <c r="D52" s="19" t="n">
        <v>8.04583333333333E-007</v>
      </c>
      <c r="E52" s="19" t="n">
        <v>2.125E-008</v>
      </c>
      <c r="F52" s="70" t="n">
        <f aca="false">E52/2</f>
        <v>1.0625E-008</v>
      </c>
      <c r="G52" s="100" t="n">
        <f aca="false">E52/D52</f>
        <v>0.0264111859140342</v>
      </c>
      <c r="H52" s="100" t="n">
        <f aca="false">G52/2</f>
        <v>0.0132055929570171</v>
      </c>
      <c r="I52" s="64" t="n">
        <v>9</v>
      </c>
      <c r="J52" s="70" t="n">
        <f aca="false">1000000000*K52</f>
        <v>800</v>
      </c>
      <c r="K52" s="99" t="n">
        <v>8E-007</v>
      </c>
      <c r="L52" s="53" t="n">
        <v>1E-013</v>
      </c>
      <c r="M52" s="53" t="n">
        <f aca="false">L52*1000000000000</f>
        <v>0.1</v>
      </c>
      <c r="N52" s="19" t="s">
        <v>116</v>
      </c>
      <c r="O52" s="0"/>
      <c r="P52" s="0"/>
      <c r="Q52" s="0"/>
      <c r="R52" s="19" t="n">
        <v>0</v>
      </c>
      <c r="S52" s="19" t="s">
        <v>243</v>
      </c>
      <c r="T52" s="99" t="n">
        <f aca="false">A52/L52</f>
        <v>1000000000000</v>
      </c>
      <c r="U52" s="99" t="n">
        <f aca="false">I52*T52</f>
        <v>9000000000000</v>
      </c>
      <c r="V52" s="102" t="n">
        <f aca="false">I52*A52</f>
        <v>0.9</v>
      </c>
      <c r="W52" s="99" t="n">
        <f aca="false">AF52/K52</f>
        <v>1.00572916666667</v>
      </c>
      <c r="X52" s="0"/>
      <c r="Y52" s="0"/>
      <c r="Z52" s="0"/>
      <c r="AA52" s="0"/>
      <c r="AB52" s="0"/>
      <c r="AC52" s="19" t="n">
        <v>12</v>
      </c>
      <c r="AD52" s="45" t="n">
        <v>9.4E-006</v>
      </c>
      <c r="AE52" s="45" t="n">
        <v>9.91E-006</v>
      </c>
      <c r="AF52" s="70" t="n">
        <f aca="false">(AE52+AD52)/(2*AC52)</f>
        <v>8.04583333333333E-007</v>
      </c>
      <c r="AG52" s="70" t="n">
        <f aca="false">(AE52-AD52)/(2*AC52)</f>
        <v>2.125E-008</v>
      </c>
      <c r="AH52" s="103" t="n">
        <f aca="false">AG52/AF52</f>
        <v>0.0264111859140342</v>
      </c>
      <c r="AI52" s="105" t="s">
        <v>246</v>
      </c>
      <c r="AJ52" s="0"/>
      <c r="AK52" s="0"/>
      <c r="AL52" s="0"/>
      <c r="AM52" s="19" t="s">
        <v>110</v>
      </c>
      <c r="AN52" s="19" t="s">
        <v>123</v>
      </c>
      <c r="AO52" s="104" t="n">
        <v>40389</v>
      </c>
      <c r="AP52" s="70" t="n">
        <f aca="false">D52/K52</f>
        <v>1.00572916666667</v>
      </c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115" customFormat="true" ht="15" hidden="false" customHeight="true" outlineLevel="0" collapsed="false">
      <c r="A53" s="114" t="n">
        <v>0.2</v>
      </c>
      <c r="B53" s="70" t="n">
        <f aca="false">C53/J53</f>
        <v>0.8875</v>
      </c>
      <c r="C53" s="19" t="n">
        <f aca="false">1000000000*D53</f>
        <v>710</v>
      </c>
      <c r="D53" s="115" t="n">
        <v>7.1E-007</v>
      </c>
      <c r="E53" s="115" t="n">
        <v>1E-007</v>
      </c>
      <c r="F53" s="70" t="n">
        <f aca="false">E53/2</f>
        <v>5E-008</v>
      </c>
      <c r="G53" s="100" t="n">
        <f aca="false">E53/D53</f>
        <v>0.140845070422535</v>
      </c>
      <c r="H53" s="100" t="n">
        <f aca="false">G53/2</f>
        <v>0.0704225352112676</v>
      </c>
      <c r="I53" s="116" t="n">
        <v>9</v>
      </c>
      <c r="J53" s="70" t="n">
        <f aca="false">1000000000*K53</f>
        <v>800</v>
      </c>
      <c r="K53" s="117" t="n">
        <v>8E-007</v>
      </c>
      <c r="L53" s="118" t="n">
        <v>1E-013</v>
      </c>
      <c r="M53" s="118" t="n">
        <f aca="false">L53*1000000000000</f>
        <v>0.1</v>
      </c>
      <c r="N53" s="115" t="s">
        <v>247</v>
      </c>
      <c r="T53" s="117" t="n">
        <f aca="false">A53/L53</f>
        <v>2000000000000</v>
      </c>
      <c r="U53" s="117" t="n">
        <f aca="false">I53*T53</f>
        <v>18000000000000</v>
      </c>
      <c r="V53" s="119" t="n">
        <f aca="false">I53*A53</f>
        <v>1.8</v>
      </c>
      <c r="W53" s="117" t="n">
        <f aca="false">Z53/K53</f>
        <v>0.8875</v>
      </c>
      <c r="X53" s="151" t="n">
        <v>6.1E-007</v>
      </c>
      <c r="Y53" s="123" t="n">
        <v>8.1E-007</v>
      </c>
      <c r="Z53" s="124" t="n">
        <f aca="false">(X53+Y53)/2</f>
        <v>7.1E-007</v>
      </c>
      <c r="AA53" s="124" t="n">
        <f aca="false">(Y53-X53)/2</f>
        <v>1E-007</v>
      </c>
      <c r="AB53" s="152" t="n">
        <f aca="false">AA53/Z53</f>
        <v>0.140845070422535</v>
      </c>
      <c r="AD53" s="123"/>
      <c r="AE53" s="123"/>
      <c r="AF53" s="124" t="n">
        <v>7.1E-007</v>
      </c>
      <c r="AG53" s="124" t="n">
        <v>1E-007</v>
      </c>
      <c r="AH53" s="125" t="n">
        <v>0.140845070422535</v>
      </c>
      <c r="AM53" s="19" t="s">
        <v>110</v>
      </c>
      <c r="AN53" s="19" t="s">
        <v>123</v>
      </c>
      <c r="AO53" s="127" t="n">
        <v>40245</v>
      </c>
      <c r="AP53" s="70" t="n">
        <f aca="false">D53/K53</f>
        <v>0.8875</v>
      </c>
    </row>
    <row r="54" s="98" customFormat="true" ht="15" hidden="false" customHeight="true" outlineLevel="0" collapsed="false">
      <c r="A54" s="128" t="n">
        <v>0.1</v>
      </c>
      <c r="B54" s="70" t="n">
        <f aca="false">C54/J54</f>
        <v>0.979166666666666</v>
      </c>
      <c r="C54" s="19" t="n">
        <f aca="false">1000000000*D54</f>
        <v>783.333333333333</v>
      </c>
      <c r="D54" s="98" t="n">
        <v>7.83333333333333E-007</v>
      </c>
      <c r="E54" s="98" t="n">
        <v>4.58333333333333E-008</v>
      </c>
      <c r="F54" s="70" t="n">
        <f aca="false">E54/2</f>
        <v>2.29166666666667E-008</v>
      </c>
      <c r="G54" s="100" t="n">
        <f aca="false">E54/D54</f>
        <v>0.0585106382978723</v>
      </c>
      <c r="H54" s="100" t="n">
        <f aca="false">G54/2</f>
        <v>0.0292553191489362</v>
      </c>
      <c r="I54" s="153" t="n">
        <v>10</v>
      </c>
      <c r="J54" s="70" t="n">
        <f aca="false">1000000000*K54</f>
        <v>800</v>
      </c>
      <c r="K54" s="129" t="n">
        <v>8E-007</v>
      </c>
      <c r="L54" s="130" t="n">
        <v>1E-013</v>
      </c>
      <c r="M54" s="130" t="n">
        <f aca="false">L54*1000000000000</f>
        <v>0.1</v>
      </c>
      <c r="N54" s="98" t="s">
        <v>116</v>
      </c>
      <c r="R54" s="98" t="n">
        <v>0</v>
      </c>
      <c r="S54" s="98" t="s">
        <v>243</v>
      </c>
      <c r="T54" s="129" t="n">
        <f aca="false">A54/L54</f>
        <v>1000000000000</v>
      </c>
      <c r="U54" s="129" t="n">
        <f aca="false">I54*T54</f>
        <v>10000000000000</v>
      </c>
      <c r="V54" s="133" t="n">
        <f aca="false">I54*A54</f>
        <v>1</v>
      </c>
      <c r="W54" s="129" t="n">
        <f aca="false">AF54/K54</f>
        <v>0.979166666666667</v>
      </c>
      <c r="X54" s="134"/>
      <c r="Y54" s="135"/>
      <c r="AB54" s="136"/>
      <c r="AC54" s="98" t="n">
        <v>12</v>
      </c>
      <c r="AD54" s="137" t="n">
        <v>8.85E-006</v>
      </c>
      <c r="AE54" s="137" t="n">
        <v>9.95E-006</v>
      </c>
      <c r="AF54" s="131" t="n">
        <f aca="false">(AE54+AD54)/(2*AC54)</f>
        <v>7.83333333333333E-007</v>
      </c>
      <c r="AG54" s="131" t="n">
        <f aca="false">(AE54-AD54)/(2*AC54)</f>
        <v>4.58333333333333E-008</v>
      </c>
      <c r="AH54" s="138" t="n">
        <f aca="false">AG54/AF54</f>
        <v>0.0585106382978723</v>
      </c>
      <c r="AI54" s="154" t="s">
        <v>246</v>
      </c>
      <c r="AM54" s="19" t="s">
        <v>110</v>
      </c>
      <c r="AN54" s="19" t="s">
        <v>123</v>
      </c>
      <c r="AO54" s="139" t="n">
        <v>40389</v>
      </c>
      <c r="AP54" s="70" t="n">
        <f aca="false">D54/K54</f>
        <v>0.979166666666667</v>
      </c>
    </row>
    <row r="55" customFormat="false" ht="15" hidden="false" customHeight="true" outlineLevel="0" collapsed="false">
      <c r="A55" s="40" t="n">
        <v>0.2</v>
      </c>
      <c r="B55" s="70" t="n">
        <f aca="false">C55/J55</f>
        <v>0.925</v>
      </c>
      <c r="C55" s="19" t="n">
        <f aca="false">1000000000*D55</f>
        <v>740</v>
      </c>
      <c r="D55" s="19" t="n">
        <v>7.4E-007</v>
      </c>
      <c r="E55" s="19" t="n">
        <v>1.1E-007</v>
      </c>
      <c r="F55" s="70" t="n">
        <f aca="false">E55/2</f>
        <v>5.5E-008</v>
      </c>
      <c r="G55" s="100" t="n">
        <f aca="false">E55/D55</f>
        <v>0.148648648648649</v>
      </c>
      <c r="H55" s="100" t="n">
        <f aca="false">G55/2</f>
        <v>0.0743243243243243</v>
      </c>
      <c r="I55" s="64" t="n">
        <v>10</v>
      </c>
      <c r="J55" s="70" t="n">
        <f aca="false">1000000000*K55</f>
        <v>800</v>
      </c>
      <c r="K55" s="99" t="n">
        <v>8E-007</v>
      </c>
      <c r="L55" s="53" t="n">
        <v>1E-013</v>
      </c>
      <c r="M55" s="53" t="n">
        <f aca="false">L55*1000000000000</f>
        <v>0.1</v>
      </c>
      <c r="N55" s="19" t="s">
        <v>247</v>
      </c>
      <c r="O55" s="0"/>
      <c r="P55" s="0"/>
      <c r="Q55" s="0"/>
      <c r="R55" s="0"/>
      <c r="S55" s="0"/>
      <c r="T55" s="99" t="n">
        <f aca="false">A55/L55</f>
        <v>2000000000000</v>
      </c>
      <c r="U55" s="99" t="n">
        <f aca="false">I55*T55</f>
        <v>20000000000000</v>
      </c>
      <c r="V55" s="102" t="n">
        <f aca="false">I55*A55</f>
        <v>2</v>
      </c>
      <c r="W55" s="99" t="n">
        <f aca="false">Z55/K55</f>
        <v>0.925</v>
      </c>
      <c r="X55" s="99" t="n">
        <v>6.3E-007</v>
      </c>
      <c r="Y55" s="70" t="n">
        <v>8.5E-007</v>
      </c>
      <c r="Z55" s="70" t="n">
        <f aca="false">(X55+Y55)/2</f>
        <v>7.4E-007</v>
      </c>
      <c r="AA55" s="70" t="n">
        <f aca="false">(Y55-X55)/2</f>
        <v>1.1E-007</v>
      </c>
      <c r="AB55" s="111" t="n">
        <f aca="false">AA55/Z55</f>
        <v>0.148648648648649</v>
      </c>
      <c r="AC55" s="0"/>
      <c r="AD55" s="0"/>
      <c r="AE55" s="0"/>
      <c r="AF55" s="70" t="n">
        <v>7.4E-007</v>
      </c>
      <c r="AG55" s="70" t="n">
        <v>1.1E-007</v>
      </c>
      <c r="AH55" s="103" t="n">
        <v>0.148648648648649</v>
      </c>
      <c r="AI55" s="0"/>
      <c r="AJ55" s="0"/>
      <c r="AK55" s="0"/>
      <c r="AL55" s="0"/>
      <c r="AM55" s="19" t="s">
        <v>110</v>
      </c>
      <c r="AN55" s="19" t="s">
        <v>123</v>
      </c>
      <c r="AO55" s="104" t="n">
        <v>40389</v>
      </c>
      <c r="AP55" s="70" t="n">
        <f aca="false">D55/K55</f>
        <v>0.925</v>
      </c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5" hidden="false" customHeight="true" outlineLevel="0" collapsed="false">
      <c r="A56" s="40"/>
      <c r="B56" s="70" t="n">
        <f aca="false">C56/J56</f>
        <v>0.874107142857143</v>
      </c>
      <c r="C56" s="19" t="n">
        <f aca="false">1000000000*D56</f>
        <v>699.285714285714</v>
      </c>
      <c r="D56" s="19" t="n">
        <v>6.99285714285714E-007</v>
      </c>
      <c r="E56" s="19" t="n">
        <v>2.5E-008</v>
      </c>
      <c r="F56" s="70" t="n">
        <f aca="false">E56/2</f>
        <v>1.25E-008</v>
      </c>
      <c r="G56" s="100" t="n">
        <f aca="false">E56/D56</f>
        <v>0.0357507660878447</v>
      </c>
      <c r="H56" s="100" t="n">
        <f aca="false">G56/2</f>
        <v>0.0178753830439224</v>
      </c>
      <c r="I56" s="19" t="n">
        <v>10</v>
      </c>
      <c r="J56" s="70" t="n">
        <f aca="false">1000000000*K56</f>
        <v>800</v>
      </c>
      <c r="K56" s="99" t="n">
        <v>8E-007</v>
      </c>
      <c r="L56" s="53" t="n">
        <v>1E-013</v>
      </c>
      <c r="M56" s="53" t="n">
        <f aca="false">L56*1000000000000</f>
        <v>0.1</v>
      </c>
      <c r="N56" s="19" t="s">
        <v>116</v>
      </c>
      <c r="O56" s="19" t="s">
        <v>260</v>
      </c>
      <c r="P56" s="70" t="n">
        <v>2E-005</v>
      </c>
      <c r="Q56" s="101" t="n">
        <f aca="false">P56*1000000</f>
        <v>20</v>
      </c>
      <c r="R56" s="19" t="n">
        <v>0</v>
      </c>
      <c r="S56" s="19" t="s">
        <v>243</v>
      </c>
      <c r="T56" s="99" t="n">
        <f aca="false">A56/L56</f>
        <v>0</v>
      </c>
      <c r="U56" s="99" t="n">
        <f aca="false">I56*T56</f>
        <v>0</v>
      </c>
      <c r="V56" s="102" t="n">
        <f aca="false">I56*A56</f>
        <v>0</v>
      </c>
      <c r="W56" s="99" t="n">
        <f aca="false">AF56/K56</f>
        <v>0.874107142857143</v>
      </c>
      <c r="X56" s="0"/>
      <c r="Y56" s="0"/>
      <c r="Z56" s="70"/>
      <c r="AA56" s="0"/>
      <c r="AB56" s="0"/>
      <c r="AC56" s="19" t="n">
        <v>7</v>
      </c>
      <c r="AD56" s="45" t="n">
        <v>4.72E-006</v>
      </c>
      <c r="AE56" s="45" t="n">
        <v>5.07E-006</v>
      </c>
      <c r="AF56" s="70" t="n">
        <f aca="false">(AE56+AD56)/(2*AC56)</f>
        <v>6.99285714285714E-007</v>
      </c>
      <c r="AG56" s="70" t="n">
        <f aca="false">(AE56-AD56)/(2*AC56)</f>
        <v>2.49999999999999E-008</v>
      </c>
      <c r="AH56" s="103" t="n">
        <f aca="false">AG56/AF56</f>
        <v>0.0357507660878447</v>
      </c>
      <c r="AI56" s="19" t="s">
        <v>253</v>
      </c>
      <c r="AJ56" s="19" t="s">
        <v>261</v>
      </c>
      <c r="AK56" s="0"/>
      <c r="AL56" s="0"/>
      <c r="AM56" s="19" t="s">
        <v>110</v>
      </c>
      <c r="AN56" s="19" t="s">
        <v>123</v>
      </c>
      <c r="AO56" s="104" t="n">
        <v>40354</v>
      </c>
      <c r="AP56" s="70" t="n">
        <f aca="false">D56/K56</f>
        <v>0.874107142857143</v>
      </c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s="115" customFormat="true" ht="15" hidden="true" customHeight="true" outlineLevel="0" collapsed="false">
      <c r="A57" s="114" t="s">
        <v>108</v>
      </c>
      <c r="B57" s="19"/>
      <c r="C57" s="19" t="n">
        <f aca="false">1000000000*D57</f>
        <v>0</v>
      </c>
      <c r="D57" s="115" t="n">
        <v>0</v>
      </c>
      <c r="E57" s="115" t="n">
        <v>0</v>
      </c>
      <c r="F57" s="19"/>
      <c r="G57" s="70" t="e">
        <f aca="false">E57/D57</f>
        <v>#DIV/0!</v>
      </c>
      <c r="H57" s="100" t="e">
        <f aca="false">G57/2</f>
        <v>#DIV/0!</v>
      </c>
      <c r="I57" s="115" t="n">
        <v>10</v>
      </c>
      <c r="J57" s="70" t="n">
        <f aca="false">1000000000*K57</f>
        <v>800</v>
      </c>
      <c r="K57" s="117" t="n">
        <v>8E-007</v>
      </c>
      <c r="L57" s="118" t="n">
        <v>1E-013</v>
      </c>
      <c r="M57" s="118" t="n">
        <f aca="false">L57*1000000000000</f>
        <v>0.1</v>
      </c>
      <c r="N57" s="115" t="s">
        <v>116</v>
      </c>
      <c r="O57" s="115" t="s">
        <v>260</v>
      </c>
      <c r="P57" s="124" t="n">
        <v>1E-005</v>
      </c>
      <c r="Q57" s="156" t="n">
        <f aca="false">P57*1000000</f>
        <v>10</v>
      </c>
      <c r="R57" s="115" t="n">
        <v>0</v>
      </c>
      <c r="S57" s="115" t="s">
        <v>243</v>
      </c>
      <c r="T57" s="117" t="e">
        <f aca="false">A57/L57</f>
        <v>#VALUE!</v>
      </c>
      <c r="U57" s="117" t="e">
        <f aca="false">I57*T57</f>
        <v>#VALUE!</v>
      </c>
      <c r="V57" s="119" t="e">
        <f aca="false">I57*A57</f>
        <v>#VALUE!</v>
      </c>
      <c r="W57" s="117" t="n">
        <f aca="false">AF57/K57</f>
        <v>0</v>
      </c>
      <c r="X57" s="120"/>
      <c r="Y57" s="121"/>
      <c r="AB57" s="122"/>
      <c r="AC57" s="115" t="n">
        <v>1</v>
      </c>
      <c r="AD57" s="123" t="n">
        <v>0</v>
      </c>
      <c r="AE57" s="123" t="n">
        <v>0</v>
      </c>
      <c r="AF57" s="124" t="n">
        <f aca="false">(AE57+AD57)/(2*AC57)</f>
        <v>0</v>
      </c>
      <c r="AG57" s="124" t="n">
        <f aca="false">(AE57-AD57)/(2*AC57)</f>
        <v>0</v>
      </c>
      <c r="AH57" s="125"/>
      <c r="AI57" s="115" t="s">
        <v>253</v>
      </c>
      <c r="AJ57" s="115" t="s">
        <v>261</v>
      </c>
      <c r="AM57" s="19" t="s">
        <v>110</v>
      </c>
      <c r="AN57" s="19" t="s">
        <v>123</v>
      </c>
      <c r="AO57" s="127" t="n">
        <v>40354</v>
      </c>
    </row>
    <row r="58" customFormat="false" ht="15" hidden="false" customHeight="true" outlineLevel="0" collapsed="false">
      <c r="A58" s="40"/>
      <c r="B58" s="70" t="n">
        <f aca="false">C58/J58</f>
        <v>0.929166666666667</v>
      </c>
      <c r="C58" s="19" t="n">
        <f aca="false">1000000000*D58</f>
        <v>743.333333333333</v>
      </c>
      <c r="D58" s="19" t="n">
        <v>7.43333333333333E-007</v>
      </c>
      <c r="E58" s="19" t="n">
        <v>7.66666666666667E-008</v>
      </c>
      <c r="F58" s="70" t="n">
        <f aca="false">E58/2</f>
        <v>3.83333333333334E-008</v>
      </c>
      <c r="G58" s="100" t="n">
        <f aca="false">E58/D58</f>
        <v>0.103139013452915</v>
      </c>
      <c r="H58" s="100" t="n">
        <f aca="false">G58/2</f>
        <v>0.0515695067264574</v>
      </c>
      <c r="I58" s="19" t="n">
        <v>10</v>
      </c>
      <c r="J58" s="70" t="n">
        <f aca="false">1000000000*K58</f>
        <v>800</v>
      </c>
      <c r="K58" s="99" t="n">
        <v>8E-007</v>
      </c>
      <c r="L58" s="53" t="n">
        <v>1E-013</v>
      </c>
      <c r="M58" s="53" t="n">
        <f aca="false">L58*1000000000000</f>
        <v>0.1</v>
      </c>
      <c r="N58" s="19" t="s">
        <v>116</v>
      </c>
      <c r="O58" s="19" t="s">
        <v>260</v>
      </c>
      <c r="P58" s="70" t="n">
        <v>4.53E-006</v>
      </c>
      <c r="Q58" s="101" t="n">
        <f aca="false">P58*1000000</f>
        <v>4.53</v>
      </c>
      <c r="R58" s="19" t="n">
        <v>0</v>
      </c>
      <c r="S58" s="19" t="s">
        <v>243</v>
      </c>
      <c r="T58" s="99" t="n">
        <f aca="false">A58/L58</f>
        <v>0</v>
      </c>
      <c r="U58" s="99" t="n">
        <f aca="false">I58*T58</f>
        <v>0</v>
      </c>
      <c r="V58" s="102" t="n">
        <f aca="false">I58*A58</f>
        <v>0</v>
      </c>
      <c r="W58" s="99" t="n">
        <f aca="false">AF58/K58</f>
        <v>0.929166666666667</v>
      </c>
      <c r="X58" s="0"/>
      <c r="Y58" s="0"/>
      <c r="Z58" s="0"/>
      <c r="AA58" s="0"/>
      <c r="AB58" s="0"/>
      <c r="AC58" s="19" t="n">
        <v>3</v>
      </c>
      <c r="AD58" s="45" t="n">
        <v>2E-006</v>
      </c>
      <c r="AE58" s="45" t="n">
        <v>2.46E-006</v>
      </c>
      <c r="AF58" s="70" t="n">
        <f aca="false">(AE58+AD58)/(2*AC58)</f>
        <v>7.43333333333333E-007</v>
      </c>
      <c r="AG58" s="70" t="n">
        <f aca="false">(AE58-AD58)/(2*AC58)</f>
        <v>7.66666666666666E-008</v>
      </c>
      <c r="AH58" s="103" t="n">
        <f aca="false">AG58/AF58</f>
        <v>0.103139013452915</v>
      </c>
      <c r="AI58" s="19" t="s">
        <v>253</v>
      </c>
      <c r="AJ58" s="19" t="s">
        <v>261</v>
      </c>
      <c r="AK58" s="0"/>
      <c r="AL58" s="0"/>
      <c r="AM58" s="19" t="s">
        <v>110</v>
      </c>
      <c r="AN58" s="19" t="s">
        <v>123</v>
      </c>
      <c r="AO58" s="104" t="n">
        <v>40354</v>
      </c>
      <c r="AP58" s="70" t="n">
        <f aca="false">D58/K58</f>
        <v>0.929166666666667</v>
      </c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5" hidden="false" customHeight="true" outlineLevel="0" collapsed="false">
      <c r="A59" s="40"/>
      <c r="B59" s="70" t="n">
        <f aca="false">C59/J59</f>
        <v>0.90625</v>
      </c>
      <c r="C59" s="19" t="n">
        <f aca="false">1000000000*D59</f>
        <v>725</v>
      </c>
      <c r="D59" s="19" t="n">
        <v>7.25E-007</v>
      </c>
      <c r="E59" s="19" t="n">
        <v>3.66666666666667E-008</v>
      </c>
      <c r="F59" s="70" t="n">
        <f aca="false">E59/2</f>
        <v>1.83333333333333E-008</v>
      </c>
      <c r="G59" s="100" t="n">
        <f aca="false">E59/D59</f>
        <v>0.0505747126436782</v>
      </c>
      <c r="H59" s="100" t="n">
        <f aca="false">G59/2</f>
        <v>0.0252873563218391</v>
      </c>
      <c r="I59" s="19" t="n">
        <v>10</v>
      </c>
      <c r="J59" s="70" t="n">
        <f aca="false">1000000000*K59</f>
        <v>800</v>
      </c>
      <c r="K59" s="99" t="n">
        <v>8E-007</v>
      </c>
      <c r="L59" s="53" t="n">
        <v>1E-013</v>
      </c>
      <c r="M59" s="53" t="n">
        <f aca="false">L59*1000000000000</f>
        <v>0.1</v>
      </c>
      <c r="N59" s="19" t="s">
        <v>116</v>
      </c>
      <c r="O59" s="19" t="s">
        <v>260</v>
      </c>
      <c r="P59" s="70" t="n">
        <v>6.7E-006</v>
      </c>
      <c r="Q59" s="101" t="n">
        <f aca="false">P59*1000000</f>
        <v>6.7</v>
      </c>
      <c r="R59" s="19" t="n">
        <v>0</v>
      </c>
      <c r="S59" s="19" t="s">
        <v>243</v>
      </c>
      <c r="T59" s="99" t="n">
        <f aca="false">A59/L59</f>
        <v>0</v>
      </c>
      <c r="U59" s="99" t="n">
        <f aca="false">I59*T59</f>
        <v>0</v>
      </c>
      <c r="V59" s="102" t="n">
        <f aca="false">I59*A59</f>
        <v>0</v>
      </c>
      <c r="W59" s="40" t="n">
        <f aca="false">AF59/K59</f>
        <v>0.90625</v>
      </c>
      <c r="X59" s="0"/>
      <c r="Y59" s="0"/>
      <c r="Z59" s="0"/>
      <c r="AA59" s="0"/>
      <c r="AB59" s="0"/>
      <c r="AC59" s="19" t="n">
        <v>6</v>
      </c>
      <c r="AD59" s="45" t="n">
        <v>4.13E-006</v>
      </c>
      <c r="AE59" s="45" t="n">
        <v>4.57E-006</v>
      </c>
      <c r="AF59" s="70" t="n">
        <f aca="false">(AE59+AD59)/(2*AC59)</f>
        <v>7.25E-007</v>
      </c>
      <c r="AG59" s="70" t="n">
        <f aca="false">(AE59-AD59)/(2*AC59)</f>
        <v>3.66666666666667E-008</v>
      </c>
      <c r="AH59" s="103" t="n">
        <f aca="false">AG59/AF59</f>
        <v>0.0505747126436783</v>
      </c>
      <c r="AI59" s="19" t="s">
        <v>253</v>
      </c>
      <c r="AJ59" s="19" t="s">
        <v>261</v>
      </c>
      <c r="AK59" s="0"/>
      <c r="AL59" s="0"/>
      <c r="AM59" s="19" t="s">
        <v>110</v>
      </c>
      <c r="AN59" s="19" t="s">
        <v>123</v>
      </c>
      <c r="AO59" s="104" t="n">
        <v>40354</v>
      </c>
      <c r="AP59" s="70" t="n">
        <f aca="false">D59/K59</f>
        <v>0.90625</v>
      </c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5" hidden="false" customHeight="true" outlineLevel="0" collapsed="false">
      <c r="A60" s="40"/>
      <c r="B60" s="70" t="n">
        <f aca="false">C60/J60</f>
        <v>0.879166666666667</v>
      </c>
      <c r="C60" s="19" t="n">
        <f aca="false">1000000000*D60</f>
        <v>703.333333333333</v>
      </c>
      <c r="D60" s="19" t="n">
        <v>7.03333333333333E-007</v>
      </c>
      <c r="E60" s="19" t="n">
        <v>3.5E-008</v>
      </c>
      <c r="F60" s="70" t="n">
        <f aca="false">E60/2</f>
        <v>1.75E-008</v>
      </c>
      <c r="G60" s="100" t="n">
        <f aca="false">E60/D60</f>
        <v>0.0497630331753555</v>
      </c>
      <c r="H60" s="100" t="n">
        <f aca="false">G60/2</f>
        <v>0.0248815165876777</v>
      </c>
      <c r="I60" s="19" t="n">
        <v>10</v>
      </c>
      <c r="J60" s="70" t="n">
        <f aca="false">1000000000*K60</f>
        <v>800</v>
      </c>
      <c r="K60" s="99" t="n">
        <v>8E-007</v>
      </c>
      <c r="L60" s="53" t="n">
        <v>1E-013</v>
      </c>
      <c r="M60" s="53" t="n">
        <f aca="false">L60*1000000000000</f>
        <v>0.1</v>
      </c>
      <c r="N60" s="19" t="s">
        <v>116</v>
      </c>
      <c r="O60" s="19" t="s">
        <v>260</v>
      </c>
      <c r="P60" s="70" t="n">
        <v>5.29E-006</v>
      </c>
      <c r="Q60" s="101" t="n">
        <f aca="false">P60*1000000</f>
        <v>5.29</v>
      </c>
      <c r="R60" s="19" t="n">
        <v>0</v>
      </c>
      <c r="S60" s="19" t="s">
        <v>243</v>
      </c>
      <c r="T60" s="99" t="n">
        <f aca="false">A60/L60</f>
        <v>0</v>
      </c>
      <c r="U60" s="99" t="n">
        <f aca="false">I60*T60</f>
        <v>0</v>
      </c>
      <c r="V60" s="102" t="n">
        <f aca="false">I60*A60</f>
        <v>0</v>
      </c>
      <c r="W60" s="40" t="n">
        <f aca="false">AF60/K60</f>
        <v>0.879166666666667</v>
      </c>
      <c r="X60" s="0"/>
      <c r="Y60" s="0"/>
      <c r="Z60" s="0"/>
      <c r="AA60" s="0"/>
      <c r="AB60" s="0"/>
      <c r="AC60" s="19" t="n">
        <v>6</v>
      </c>
      <c r="AD60" s="45" t="n">
        <v>4.01E-006</v>
      </c>
      <c r="AE60" s="45" t="n">
        <v>4.43E-006</v>
      </c>
      <c r="AF60" s="70" t="n">
        <f aca="false">(AE60+AD60)/(2*AC60)</f>
        <v>7.03333333333333E-007</v>
      </c>
      <c r="AG60" s="70" t="n">
        <f aca="false">(AE60-AD60)/(2*AC60)</f>
        <v>3.5E-008</v>
      </c>
      <c r="AH60" s="103" t="n">
        <f aca="false">AG60/AF60</f>
        <v>0.0497630331753555</v>
      </c>
      <c r="AI60" s="19" t="s">
        <v>253</v>
      </c>
      <c r="AJ60" s="19" t="s">
        <v>261</v>
      </c>
      <c r="AK60" s="0"/>
      <c r="AL60" s="0"/>
      <c r="AM60" s="19" t="s">
        <v>110</v>
      </c>
      <c r="AN60" s="19" t="s">
        <v>123</v>
      </c>
      <c r="AO60" s="104" t="n">
        <v>40354</v>
      </c>
      <c r="AP60" s="70" t="n">
        <f aca="false">D60/K60</f>
        <v>0.879166666666667</v>
      </c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5" hidden="false" customHeight="true" outlineLevel="0" collapsed="false">
      <c r="A61" s="40"/>
      <c r="B61" s="70" t="n">
        <f aca="false">C61/J61</f>
        <v>0.9609375</v>
      </c>
      <c r="C61" s="19" t="n">
        <f aca="false">1000000000*D61</f>
        <v>768.75</v>
      </c>
      <c r="D61" s="19" t="n">
        <v>7.6875E-007</v>
      </c>
      <c r="E61" s="19" t="n">
        <v>3E-008</v>
      </c>
      <c r="F61" s="70" t="n">
        <f aca="false">E61/2</f>
        <v>1.5E-008</v>
      </c>
      <c r="G61" s="100" t="n">
        <f aca="false">E61/D61</f>
        <v>0.0390243902439024</v>
      </c>
      <c r="H61" s="100" t="n">
        <f aca="false">G61/2</f>
        <v>0.0195121951219512</v>
      </c>
      <c r="I61" s="19" t="n">
        <v>10</v>
      </c>
      <c r="J61" s="70" t="n">
        <f aca="false">1000000000*K61</f>
        <v>800</v>
      </c>
      <c r="K61" s="99" t="n">
        <v>8E-007</v>
      </c>
      <c r="L61" s="53" t="n">
        <v>1E-013</v>
      </c>
      <c r="M61" s="53" t="n">
        <f aca="false">L61*1000000000000</f>
        <v>0.1</v>
      </c>
      <c r="N61" s="19" t="s">
        <v>116</v>
      </c>
      <c r="O61" s="19" t="s">
        <v>260</v>
      </c>
      <c r="P61" s="70" t="n">
        <v>1.5E-005</v>
      </c>
      <c r="Q61" s="101" t="n">
        <f aca="false">P61*1000000</f>
        <v>15</v>
      </c>
      <c r="R61" s="19" t="n">
        <v>0</v>
      </c>
      <c r="S61" s="19" t="s">
        <v>243</v>
      </c>
      <c r="T61" s="99" t="n">
        <f aca="false">A61/L61</f>
        <v>0</v>
      </c>
      <c r="U61" s="99" t="n">
        <f aca="false">I61*T61</f>
        <v>0</v>
      </c>
      <c r="V61" s="102" t="n">
        <f aca="false">I61*A61</f>
        <v>0</v>
      </c>
      <c r="W61" s="40" t="n">
        <f aca="false">AF61/K61</f>
        <v>0.9609375</v>
      </c>
      <c r="X61" s="0"/>
      <c r="Y61" s="0"/>
      <c r="Z61" s="0"/>
      <c r="AA61" s="0"/>
      <c r="AB61" s="0"/>
      <c r="AC61" s="19" t="n">
        <v>8</v>
      </c>
      <c r="AD61" s="45" t="n">
        <v>5.91E-006</v>
      </c>
      <c r="AE61" s="45" t="n">
        <v>6.39E-006</v>
      </c>
      <c r="AF61" s="70" t="n">
        <f aca="false">(AE61+AD61)/(2*AC61)</f>
        <v>7.6875E-007</v>
      </c>
      <c r="AG61" s="70" t="n">
        <f aca="false">(AE61-AD61)/(2*AC61)</f>
        <v>3E-008</v>
      </c>
      <c r="AH61" s="103" t="n">
        <f aca="false">AG61/AF61</f>
        <v>0.0390243902439024</v>
      </c>
      <c r="AI61" s="19" t="s">
        <v>253</v>
      </c>
      <c r="AJ61" s="19" t="s">
        <v>261</v>
      </c>
      <c r="AK61" s="0"/>
      <c r="AL61" s="0"/>
      <c r="AM61" s="19" t="s">
        <v>110</v>
      </c>
      <c r="AN61" s="19" t="s">
        <v>123</v>
      </c>
      <c r="AO61" s="104" t="n">
        <v>40354</v>
      </c>
      <c r="AP61" s="70" t="n">
        <f aca="false">D61/K61</f>
        <v>0.9609375</v>
      </c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5" hidden="false" customHeight="true" outlineLevel="0" collapsed="false">
      <c r="A62" s="40"/>
      <c r="B62" s="70" t="n">
        <f aca="false">C62/J62</f>
        <v>0.89375</v>
      </c>
      <c r="C62" s="19" t="n">
        <f aca="false">1000000000*D62</f>
        <v>715</v>
      </c>
      <c r="D62" s="19" t="n">
        <v>7.15E-007</v>
      </c>
      <c r="E62" s="19" t="n">
        <v>1E-007</v>
      </c>
      <c r="F62" s="70" t="n">
        <f aca="false">E62/2</f>
        <v>5E-008</v>
      </c>
      <c r="G62" s="100" t="n">
        <f aca="false">E62/D62</f>
        <v>0.13986013986014</v>
      </c>
      <c r="H62" s="100" t="n">
        <f aca="false">G62/2</f>
        <v>0.0699300699300699</v>
      </c>
      <c r="I62" s="19" t="n">
        <v>10</v>
      </c>
      <c r="J62" s="70" t="n">
        <f aca="false">1000000000*K62</f>
        <v>800</v>
      </c>
      <c r="K62" s="99" t="n">
        <v>8E-007</v>
      </c>
      <c r="L62" s="53" t="n">
        <v>1E-013</v>
      </c>
      <c r="M62" s="53" t="n">
        <f aca="false">L62*1000000000000</f>
        <v>0.1</v>
      </c>
      <c r="N62" s="19" t="s">
        <v>116</v>
      </c>
      <c r="O62" s="19" t="s">
        <v>260</v>
      </c>
      <c r="P62" s="70" t="n">
        <v>1.4E-005</v>
      </c>
      <c r="Q62" s="101" t="n">
        <f aca="false">P62*1000000</f>
        <v>14</v>
      </c>
      <c r="R62" s="19" t="n">
        <v>0</v>
      </c>
      <c r="S62" s="19" t="s">
        <v>243</v>
      </c>
      <c r="T62" s="70" t="n">
        <f aca="false">A62/L62</f>
        <v>0</v>
      </c>
      <c r="U62" s="70" t="n">
        <f aca="false">I62*T62</f>
        <v>0</v>
      </c>
      <c r="V62" s="102" t="n">
        <f aca="false">I62*A62</f>
        <v>0</v>
      </c>
      <c r="W62" s="40" t="n">
        <f aca="false">AF62/K62</f>
        <v>0.89375</v>
      </c>
      <c r="X62" s="0"/>
      <c r="Y62" s="0"/>
      <c r="Z62" s="0"/>
      <c r="AA62" s="0"/>
      <c r="AB62" s="0"/>
      <c r="AC62" s="19" t="n">
        <v>2</v>
      </c>
      <c r="AD62" s="45" t="n">
        <v>1.23E-006</v>
      </c>
      <c r="AE62" s="45" t="n">
        <v>1.63E-006</v>
      </c>
      <c r="AF62" s="70" t="n">
        <f aca="false">(AE62+AD62)/(2*AC62)</f>
        <v>7.15E-007</v>
      </c>
      <c r="AG62" s="70" t="n">
        <f aca="false">(AE62-AD62)/(2*AC62)</f>
        <v>1E-007</v>
      </c>
      <c r="AH62" s="103" t="n">
        <f aca="false">AG62/AF62</f>
        <v>0.13986013986014</v>
      </c>
      <c r="AI62" s="19" t="s">
        <v>253</v>
      </c>
      <c r="AJ62" s="19" t="s">
        <v>261</v>
      </c>
      <c r="AK62" s="0"/>
      <c r="AL62" s="0"/>
      <c r="AM62" s="19" t="s">
        <v>110</v>
      </c>
      <c r="AN62" s="19" t="s">
        <v>123</v>
      </c>
      <c r="AO62" s="104" t="n">
        <v>40354</v>
      </c>
      <c r="AP62" s="70" t="n">
        <f aca="false">D62/K62</f>
        <v>0.89375</v>
      </c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5" hidden="false" customHeight="true" outlineLevel="0" collapsed="false">
      <c r="A63" s="40" t="n">
        <v>0.1</v>
      </c>
      <c r="B63" s="70" t="n">
        <f aca="false">C63/J63</f>
        <v>0.944117647058823</v>
      </c>
      <c r="C63" s="19" t="n">
        <f aca="false">1000000000*D63</f>
        <v>755.294117647059</v>
      </c>
      <c r="D63" s="19" t="n">
        <v>7.55294117647059E-007</v>
      </c>
      <c r="E63" s="19" t="n">
        <v>1.64705882352941E-008</v>
      </c>
      <c r="F63" s="70" t="n">
        <f aca="false">E63/2</f>
        <v>8.23529411764705E-009</v>
      </c>
      <c r="G63" s="100" t="n">
        <f aca="false">E63/D63</f>
        <v>0.0218068535825545</v>
      </c>
      <c r="H63" s="100" t="n">
        <f aca="false">G63/2</f>
        <v>0.0109034267912773</v>
      </c>
      <c r="I63" s="64" t="n">
        <v>11</v>
      </c>
      <c r="J63" s="70" t="n">
        <f aca="false">1000000000*K63</f>
        <v>800</v>
      </c>
      <c r="K63" s="99" t="n">
        <v>8E-007</v>
      </c>
      <c r="L63" s="53" t="n">
        <v>1E-013</v>
      </c>
      <c r="M63" s="53" t="n">
        <f aca="false">L63*1000000000000</f>
        <v>0.1</v>
      </c>
      <c r="N63" s="19" t="s">
        <v>116</v>
      </c>
      <c r="O63" s="0"/>
      <c r="P63" s="0"/>
      <c r="Q63" s="0"/>
      <c r="R63" s="19" t="n">
        <v>0</v>
      </c>
      <c r="S63" s="19" t="s">
        <v>243</v>
      </c>
      <c r="T63" s="70" t="n">
        <f aca="false">A63/L63</f>
        <v>1000000000000</v>
      </c>
      <c r="U63" s="70" t="n">
        <f aca="false">I63*T63</f>
        <v>11000000000000</v>
      </c>
      <c r="V63" s="102" t="n">
        <f aca="false">I63*A63</f>
        <v>1.1</v>
      </c>
      <c r="W63" s="99" t="n">
        <f aca="false">AF63/K63</f>
        <v>0.944117647058824</v>
      </c>
      <c r="X63" s="0"/>
      <c r="Y63" s="0"/>
      <c r="Z63" s="0"/>
      <c r="AA63" s="0"/>
      <c r="AB63" s="0"/>
      <c r="AC63" s="19" t="n">
        <v>17</v>
      </c>
      <c r="AD63" s="45" t="n">
        <v>1.256E-005</v>
      </c>
      <c r="AE63" s="45" t="n">
        <v>1.312E-005</v>
      </c>
      <c r="AF63" s="70" t="n">
        <f aca="false">(AE63+AD63)/(2*AC63)</f>
        <v>7.55294117647059E-007</v>
      </c>
      <c r="AG63" s="70" t="n">
        <f aca="false">(AE63-AD63)/(2*AC63)</f>
        <v>1.64705882352941E-008</v>
      </c>
      <c r="AH63" s="103" t="n">
        <f aca="false">AG63/AF63</f>
        <v>0.0218068535825545</v>
      </c>
      <c r="AI63" s="105" t="s">
        <v>246</v>
      </c>
      <c r="AJ63" s="0"/>
      <c r="AK63" s="0"/>
      <c r="AL63" s="0"/>
      <c r="AM63" s="19" t="s">
        <v>110</v>
      </c>
      <c r="AN63" s="19" t="s">
        <v>123</v>
      </c>
      <c r="AO63" s="104" t="n">
        <v>40389</v>
      </c>
      <c r="AP63" s="70" t="n">
        <f aca="false">D63/K63</f>
        <v>0.944117647058823</v>
      </c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5" hidden="false" customHeight="true" outlineLevel="0" collapsed="false">
      <c r="A64" s="40" t="n">
        <v>0.1</v>
      </c>
      <c r="B64" s="70" t="n">
        <f aca="false">C64/J64</f>
        <v>0.925735294117647</v>
      </c>
      <c r="C64" s="19" t="n">
        <f aca="false">1000000000*D64</f>
        <v>740.588235294118</v>
      </c>
      <c r="D64" s="19" t="n">
        <v>7.40588235294118E-007</v>
      </c>
      <c r="E64" s="19" t="n">
        <v>1.70588235294118E-008</v>
      </c>
      <c r="F64" s="70" t="n">
        <f aca="false">E64/2</f>
        <v>8.52941176470588E-009</v>
      </c>
      <c r="G64" s="100" t="n">
        <f aca="false">E64/D64</f>
        <v>0.023034154090548</v>
      </c>
      <c r="H64" s="100" t="n">
        <f aca="false">G64/2</f>
        <v>0.011517077045274</v>
      </c>
      <c r="I64" s="64" t="n">
        <v>12</v>
      </c>
      <c r="J64" s="70" t="n">
        <f aca="false">1000000000*K64</f>
        <v>800</v>
      </c>
      <c r="K64" s="99" t="n">
        <v>8E-007</v>
      </c>
      <c r="L64" s="53" t="n">
        <v>1E-013</v>
      </c>
      <c r="M64" s="53" t="n">
        <f aca="false">L64*1000000000000</f>
        <v>0.1</v>
      </c>
      <c r="N64" s="19" t="s">
        <v>116</v>
      </c>
      <c r="O64" s="0"/>
      <c r="P64" s="0"/>
      <c r="Q64" s="0"/>
      <c r="R64" s="19" t="n">
        <v>0</v>
      </c>
      <c r="S64" s="19" t="s">
        <v>243</v>
      </c>
      <c r="T64" s="70" t="n">
        <f aca="false">A64/L64</f>
        <v>1000000000000</v>
      </c>
      <c r="U64" s="70" t="n">
        <f aca="false">I64*T64</f>
        <v>12000000000000</v>
      </c>
      <c r="V64" s="102" t="n">
        <f aca="false">I64*A64</f>
        <v>1.2</v>
      </c>
      <c r="W64" s="99" t="n">
        <f aca="false">AF64/K64</f>
        <v>0.925735294117647</v>
      </c>
      <c r="X64" s="0"/>
      <c r="Y64" s="0"/>
      <c r="Z64" s="0"/>
      <c r="AA64" s="0"/>
      <c r="AB64" s="0"/>
      <c r="AC64" s="19" t="n">
        <v>17</v>
      </c>
      <c r="AD64" s="45" t="n">
        <v>1.23E-005</v>
      </c>
      <c r="AE64" s="45" t="n">
        <v>1.288E-005</v>
      </c>
      <c r="AF64" s="70" t="n">
        <f aca="false">(AE64+AD64)/(2*AC64)</f>
        <v>7.40588235294118E-007</v>
      </c>
      <c r="AG64" s="70" t="n">
        <f aca="false">(AE64-AD64)/(2*AC64)</f>
        <v>1.70588235294118E-008</v>
      </c>
      <c r="AH64" s="103" t="n">
        <f aca="false">AG64/AF64</f>
        <v>0.0230341540905481</v>
      </c>
      <c r="AI64" s="105" t="s">
        <v>246</v>
      </c>
      <c r="AJ64" s="0"/>
      <c r="AK64" s="0"/>
      <c r="AL64" s="0"/>
      <c r="AM64" s="19" t="s">
        <v>110</v>
      </c>
      <c r="AN64" s="19" t="s">
        <v>123</v>
      </c>
      <c r="AO64" s="157" t="n">
        <v>40389</v>
      </c>
      <c r="AP64" s="70" t="n">
        <f aca="false">D64/K64</f>
        <v>0.925735294117647</v>
      </c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5" hidden="false" customHeight="true" outlineLevel="0" collapsed="false">
      <c r="A65" s="40" t="n">
        <v>0.1</v>
      </c>
      <c r="B65" s="70" t="n">
        <f aca="false">C65/J65</f>
        <v>0.935625</v>
      </c>
      <c r="C65" s="19" t="n">
        <f aca="false">1000000000*D65</f>
        <v>748.5</v>
      </c>
      <c r="D65" s="19" t="n">
        <v>7.485E-007</v>
      </c>
      <c r="E65" s="19" t="n">
        <v>2.75E-008</v>
      </c>
      <c r="F65" s="70" t="n">
        <f aca="false">E65/2</f>
        <v>1.375E-008</v>
      </c>
      <c r="G65" s="100" t="n">
        <f aca="false">E65/D65</f>
        <v>0.0367401469605879</v>
      </c>
      <c r="H65" s="100" t="n">
        <f aca="false">G65/2</f>
        <v>0.0183700734802939</v>
      </c>
      <c r="I65" s="64" t="n">
        <v>13</v>
      </c>
      <c r="J65" s="70" t="n">
        <f aca="false">1000000000*K65</f>
        <v>800</v>
      </c>
      <c r="K65" s="99" t="n">
        <v>8E-007</v>
      </c>
      <c r="L65" s="53" t="n">
        <v>1E-013</v>
      </c>
      <c r="M65" s="53" t="n">
        <f aca="false">L65*1000000000000</f>
        <v>0.1</v>
      </c>
      <c r="N65" s="19" t="s">
        <v>116</v>
      </c>
      <c r="O65" s="0"/>
      <c r="P65" s="0"/>
      <c r="Q65" s="0"/>
      <c r="R65" s="19" t="n">
        <v>0</v>
      </c>
      <c r="S65" s="19" t="s">
        <v>243</v>
      </c>
      <c r="T65" s="70" t="n">
        <f aca="false">A65/L65</f>
        <v>1000000000000</v>
      </c>
      <c r="U65" s="70" t="n">
        <f aca="false">I65*T65</f>
        <v>13000000000000</v>
      </c>
      <c r="V65" s="102" t="n">
        <f aca="false">I65*A65</f>
        <v>1.3</v>
      </c>
      <c r="W65" s="99" t="n">
        <f aca="false">AF65/K65</f>
        <v>0.935625</v>
      </c>
      <c r="X65" s="0"/>
      <c r="Y65" s="0"/>
      <c r="Z65" s="0"/>
      <c r="AA65" s="0"/>
      <c r="AB65" s="0"/>
      <c r="AC65" s="19" t="n">
        <v>10</v>
      </c>
      <c r="AD65" s="45" t="n">
        <v>7.21E-006</v>
      </c>
      <c r="AE65" s="45" t="n">
        <v>7.76E-006</v>
      </c>
      <c r="AF65" s="70" t="n">
        <f aca="false">(AE65+AD65)/(2*AC65)</f>
        <v>7.485E-007</v>
      </c>
      <c r="AG65" s="70" t="n">
        <f aca="false">(AE65-AD65)/(2*AC65)</f>
        <v>2.75E-008</v>
      </c>
      <c r="AH65" s="103" t="n">
        <f aca="false">AG65/AF65</f>
        <v>0.0367401469605879</v>
      </c>
      <c r="AI65" s="105" t="s">
        <v>246</v>
      </c>
      <c r="AJ65" s="0"/>
      <c r="AK65" s="0"/>
      <c r="AL65" s="0"/>
      <c r="AM65" s="19" t="s">
        <v>110</v>
      </c>
      <c r="AN65" s="19" t="s">
        <v>123</v>
      </c>
      <c r="AO65" s="157" t="n">
        <v>40389</v>
      </c>
      <c r="AP65" s="70" t="n">
        <f aca="false">D65/K65</f>
        <v>0.935625</v>
      </c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5" hidden="false" customHeight="true" outlineLevel="0" collapsed="false">
      <c r="A66" s="40" t="n">
        <v>0.1</v>
      </c>
      <c r="B66" s="70" t="n">
        <f aca="false">C66/J66</f>
        <v>0.922395833333333</v>
      </c>
      <c r="C66" s="19" t="n">
        <f aca="false">1000000000*D66</f>
        <v>737.916666666667</v>
      </c>
      <c r="D66" s="19" t="n">
        <v>7.37916666666667E-007</v>
      </c>
      <c r="E66" s="19" t="n">
        <v>1.95833333333333E-008</v>
      </c>
      <c r="F66" s="70" t="n">
        <f aca="false">E66/2</f>
        <v>9.79166666666664E-009</v>
      </c>
      <c r="G66" s="100" t="n">
        <f aca="false">E66/D66</f>
        <v>0.0265386787125917</v>
      </c>
      <c r="H66" s="100" t="n">
        <f aca="false">G66/2</f>
        <v>0.0132693393562958</v>
      </c>
      <c r="I66" s="64" t="n">
        <v>14</v>
      </c>
      <c r="J66" s="70" t="n">
        <f aca="false">1000000000*K66</f>
        <v>800</v>
      </c>
      <c r="K66" s="99" t="n">
        <v>8E-007</v>
      </c>
      <c r="L66" s="53" t="n">
        <v>1E-013</v>
      </c>
      <c r="M66" s="53" t="n">
        <f aca="false">L66*1000000000000</f>
        <v>0.1</v>
      </c>
      <c r="N66" s="19" t="s">
        <v>116</v>
      </c>
      <c r="O66" s="0"/>
      <c r="P66" s="0"/>
      <c r="Q66" s="0"/>
      <c r="R66" s="19" t="n">
        <v>0</v>
      </c>
      <c r="S66" s="19" t="s">
        <v>243</v>
      </c>
      <c r="T66" s="70" t="n">
        <f aca="false">A66/L66</f>
        <v>1000000000000</v>
      </c>
      <c r="U66" s="70" t="n">
        <f aca="false">I66*T66</f>
        <v>14000000000000</v>
      </c>
      <c r="V66" s="102" t="n">
        <f aca="false">I66*A66</f>
        <v>1.4</v>
      </c>
      <c r="W66" s="99" t="n">
        <f aca="false">AF66/K66</f>
        <v>0.922395833333333</v>
      </c>
      <c r="X66" s="0"/>
      <c r="Y66" s="0"/>
      <c r="Z66" s="0"/>
      <c r="AA66" s="0"/>
      <c r="AB66" s="0"/>
      <c r="AC66" s="19" t="n">
        <v>12</v>
      </c>
      <c r="AD66" s="45" t="n">
        <v>8.62E-006</v>
      </c>
      <c r="AE66" s="45" t="n">
        <v>9.09E-006</v>
      </c>
      <c r="AF66" s="70" t="n">
        <f aca="false">(AE66+AD66)/(2*AC66)</f>
        <v>7.37916666666667E-007</v>
      </c>
      <c r="AG66" s="70" t="n">
        <f aca="false">(AE66-AD66)/(2*AC66)</f>
        <v>1.95833333333333E-008</v>
      </c>
      <c r="AH66" s="103" t="n">
        <f aca="false">AG66/AF66</f>
        <v>0.0265386787125917</v>
      </c>
      <c r="AI66" s="105" t="s">
        <v>246</v>
      </c>
      <c r="AJ66" s="0"/>
      <c r="AK66" s="0"/>
      <c r="AL66" s="0"/>
      <c r="AM66" s="19" t="s">
        <v>110</v>
      </c>
      <c r="AN66" s="19" t="s">
        <v>123</v>
      </c>
      <c r="AO66" s="157" t="n">
        <v>40389</v>
      </c>
      <c r="AP66" s="70" t="n">
        <f aca="false">D66/K66</f>
        <v>0.922395833333333</v>
      </c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5" hidden="false" customHeight="true" outlineLevel="0" collapsed="false">
      <c r="A67" s="40" t="n">
        <v>0.5</v>
      </c>
      <c r="B67" s="70" t="n">
        <f aca="false">C67/J67</f>
        <v>0.853125</v>
      </c>
      <c r="C67" s="19" t="n">
        <f aca="false">1000000000*D67</f>
        <v>682.5</v>
      </c>
      <c r="D67" s="19" t="n">
        <v>6.825E-007</v>
      </c>
      <c r="E67" s="19" t="n">
        <v>9.58333333333331E-009</v>
      </c>
      <c r="F67" s="70" t="n">
        <f aca="false">E67/2</f>
        <v>4.79166666666666E-009</v>
      </c>
      <c r="G67" s="100" t="n">
        <f aca="false">E67/D67</f>
        <v>0.014041514041514</v>
      </c>
      <c r="H67" s="100" t="n">
        <f aca="false">G67/2</f>
        <v>0.00702075702075701</v>
      </c>
      <c r="I67" s="64" t="n">
        <v>15</v>
      </c>
      <c r="J67" s="70" t="n">
        <f aca="false">1000000000*K67</f>
        <v>800</v>
      </c>
      <c r="K67" s="99" t="n">
        <v>8E-007</v>
      </c>
      <c r="L67" s="53" t="n">
        <v>1E-013</v>
      </c>
      <c r="M67" s="64" t="n">
        <f aca="false">L67*1000000000000</f>
        <v>0.1</v>
      </c>
      <c r="N67" s="19" t="s">
        <v>247</v>
      </c>
      <c r="O67" s="0"/>
      <c r="P67" s="0"/>
      <c r="Q67" s="0"/>
      <c r="R67" s="19" t="n">
        <v>0</v>
      </c>
      <c r="S67" s="19" t="s">
        <v>243</v>
      </c>
      <c r="T67" s="19" t="n">
        <f aca="false">A67/L67</f>
        <v>5000000000000</v>
      </c>
      <c r="U67" s="19" t="n">
        <f aca="false">I67*T67</f>
        <v>75000000000000</v>
      </c>
      <c r="V67" s="40" t="n">
        <f aca="false">I67*A67</f>
        <v>7.5</v>
      </c>
      <c r="W67" s="99" t="n">
        <f aca="false">AF67/K67</f>
        <v>0.853125</v>
      </c>
      <c r="X67" s="0"/>
      <c r="Y67" s="0"/>
      <c r="Z67" s="0"/>
      <c r="AA67" s="0"/>
      <c r="AB67" s="0"/>
      <c r="AC67" s="19" t="n">
        <v>24</v>
      </c>
      <c r="AD67" s="45" t="n">
        <v>1.615E-005</v>
      </c>
      <c r="AE67" s="45" t="n">
        <v>1.661E-005</v>
      </c>
      <c r="AF67" s="70" t="n">
        <f aca="false">(AE67+AD67)/(2*AC67)</f>
        <v>6.825E-007</v>
      </c>
      <c r="AG67" s="70" t="n">
        <f aca="false">(AE67-AD67)/(2*AC67)</f>
        <v>9.58333333333331E-009</v>
      </c>
      <c r="AH67" s="103" t="n">
        <f aca="false">AG67/AF67</f>
        <v>0.014041514041514</v>
      </c>
      <c r="AI67" s="19" t="s">
        <v>251</v>
      </c>
      <c r="AJ67" s="0"/>
      <c r="AK67" s="0"/>
      <c r="AL67" s="0"/>
      <c r="AM67" s="19" t="s">
        <v>110</v>
      </c>
      <c r="AN67" s="19" t="s">
        <v>123</v>
      </c>
      <c r="AO67" s="0"/>
      <c r="AP67" s="70" t="n">
        <f aca="false">D67/K67</f>
        <v>0.853125</v>
      </c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s="98" customFormat="true" ht="15" hidden="false" customHeight="true" outlineLevel="0" collapsed="false">
      <c r="A68" s="40" t="n">
        <v>0.2</v>
      </c>
      <c r="B68" s="70" t="n">
        <f aca="false">C68/J68</f>
        <v>0.9228125</v>
      </c>
      <c r="C68" s="19" t="n">
        <f aca="false">1000000000*D68</f>
        <v>738.25</v>
      </c>
      <c r="D68" s="19" t="n">
        <v>7.3825E-007</v>
      </c>
      <c r="E68" s="19" t="n">
        <v>8.75E-009</v>
      </c>
      <c r="F68" s="70" t="n">
        <f aca="false">E68/2</f>
        <v>4.375E-009</v>
      </c>
      <c r="G68" s="100" t="n">
        <f aca="false">E68/D68</f>
        <v>0.0118523535387741</v>
      </c>
      <c r="H68" s="100" t="n">
        <f aca="false">G68/2</f>
        <v>0.00592617676938707</v>
      </c>
      <c r="I68" s="153" t="n">
        <v>20</v>
      </c>
      <c r="J68" s="70" t="n">
        <f aca="false">1000000000*K68</f>
        <v>800</v>
      </c>
      <c r="K68" s="129" t="n">
        <v>8E-007</v>
      </c>
      <c r="L68" s="130" t="n">
        <v>1E-013</v>
      </c>
      <c r="M68" s="130" t="n">
        <f aca="false">L68*1000000000000</f>
        <v>0.1</v>
      </c>
      <c r="N68" s="98" t="s">
        <v>247</v>
      </c>
      <c r="Q68" s="19"/>
      <c r="R68" s="98" t="n">
        <v>0</v>
      </c>
      <c r="S68" s="98" t="s">
        <v>243</v>
      </c>
      <c r="T68" s="131" t="n">
        <f aca="false">A68/L68</f>
        <v>2000000000000</v>
      </c>
      <c r="U68" s="131" t="n">
        <f aca="false">I68*T68</f>
        <v>40000000000000</v>
      </c>
      <c r="V68" s="133" t="n">
        <f aca="false">I68*A68</f>
        <v>4</v>
      </c>
      <c r="W68" s="129" t="n">
        <f aca="false">AF68/K68</f>
        <v>0.9228125</v>
      </c>
      <c r="X68" s="158" t="n">
        <v>6.1E-007</v>
      </c>
      <c r="Y68" s="137" t="n">
        <v>7.7E-007</v>
      </c>
      <c r="Z68" s="131" t="n">
        <f aca="false">(X68+Y68)/2</f>
        <v>6.9E-007</v>
      </c>
      <c r="AA68" s="131" t="n">
        <f aca="false">(Y68-X68)/2</f>
        <v>8E-008</v>
      </c>
      <c r="AB68" s="159" t="n">
        <f aca="false">AA68/Z68</f>
        <v>0.115942028985507</v>
      </c>
      <c r="AC68" s="98" t="n">
        <v>20</v>
      </c>
      <c r="AD68" s="137" t="n">
        <v>1.459E-005</v>
      </c>
      <c r="AE68" s="137" t="n">
        <v>1.494E-005</v>
      </c>
      <c r="AF68" s="131" t="n">
        <f aca="false">(AE68+AD68)/(2*AC68)</f>
        <v>7.3825E-007</v>
      </c>
      <c r="AG68" s="131" t="n">
        <f aca="false">(AE68-AD68)/(2*AC68)</f>
        <v>8.75E-009</v>
      </c>
      <c r="AH68" s="138" t="n">
        <f aca="false">AG68/AF68</f>
        <v>0.0118523535387741</v>
      </c>
      <c r="AI68" s="98" t="s">
        <v>256</v>
      </c>
      <c r="AJ68" s="98" t="s">
        <v>257</v>
      </c>
      <c r="AM68" s="98" t="s">
        <v>110</v>
      </c>
      <c r="AN68" s="98" t="s">
        <v>123</v>
      </c>
      <c r="AO68" s="160" t="n">
        <v>40253</v>
      </c>
      <c r="AP68" s="70" t="n">
        <f aca="false">D68/K68</f>
        <v>0.9228125</v>
      </c>
    </row>
    <row r="69" customFormat="false" ht="15" hidden="false" customHeight="true" outlineLevel="0" collapsed="false">
      <c r="A69" s="106" t="n">
        <v>0.313</v>
      </c>
      <c r="B69" s="70" t="n">
        <f aca="false">C69/J69</f>
        <v>0.89375</v>
      </c>
      <c r="C69" s="107" t="n">
        <f aca="false">1000000000*D69</f>
        <v>715</v>
      </c>
      <c r="D69" s="20" t="n">
        <f aca="false">Z69</f>
        <v>7.15E-007</v>
      </c>
      <c r="E69" s="20" t="n">
        <f aca="false">AA69</f>
        <v>1.5E-008</v>
      </c>
      <c r="F69" s="70" t="n">
        <f aca="false">E69/2</f>
        <v>7.50000000000001E-009</v>
      </c>
      <c r="G69" s="100" t="n">
        <f aca="false">E69/D69</f>
        <v>0.020979020979021</v>
      </c>
      <c r="H69" s="100" t="n">
        <f aca="false">G69/2</f>
        <v>0.0104895104895105</v>
      </c>
      <c r="I69" s="108" t="n">
        <v>20</v>
      </c>
      <c r="J69" s="70" t="n">
        <f aca="false">1000000000*K69</f>
        <v>800</v>
      </c>
      <c r="K69" s="109" t="n">
        <v>8E-007</v>
      </c>
      <c r="L69" s="82" t="n">
        <v>1E-013</v>
      </c>
      <c r="M69" s="82" t="n">
        <f aca="false">L69*1000000000000</f>
        <v>0.1</v>
      </c>
      <c r="N69" s="107" t="s">
        <v>247</v>
      </c>
      <c r="O69" s="107"/>
      <c r="P69" s="107"/>
      <c r="Q69" s="107"/>
      <c r="R69" s="107" t="n">
        <v>0</v>
      </c>
      <c r="S69" s="107" t="s">
        <v>243</v>
      </c>
      <c r="T69" s="20" t="n">
        <f aca="false">A69/L69</f>
        <v>3130000000000</v>
      </c>
      <c r="U69" s="20" t="n">
        <f aca="false">I69*T69</f>
        <v>62600000000000</v>
      </c>
      <c r="V69" s="110" t="n">
        <f aca="false">I69*A69</f>
        <v>6.26</v>
      </c>
      <c r="W69" s="109" t="n">
        <f aca="false">AF69/K69</f>
        <v>0.728125</v>
      </c>
      <c r="X69" s="109" t="n">
        <v>7E-007</v>
      </c>
      <c r="Y69" s="20" t="n">
        <v>7.3E-007</v>
      </c>
      <c r="Z69" s="70" t="n">
        <f aca="false">(X69+Y69)/2</f>
        <v>7.15E-007</v>
      </c>
      <c r="AA69" s="70" t="n">
        <f aca="false">(Y69-X69)/2</f>
        <v>1.5E-008</v>
      </c>
      <c r="AB69" s="111" t="n">
        <f aca="false">AA69/Z69</f>
        <v>0.020979020979021</v>
      </c>
      <c r="AC69" s="108" t="n">
        <v>22</v>
      </c>
      <c r="AD69" s="20" t="n">
        <v>1.267E-005</v>
      </c>
      <c r="AE69" s="20" t="n">
        <v>1.296E-005</v>
      </c>
      <c r="AF69" s="20" t="n">
        <f aca="false">(AE69+AD69)/(2*AC69)</f>
        <v>5.825E-007</v>
      </c>
      <c r="AG69" s="20" t="n">
        <f aca="false">(AE69-AD69)/(2*AC69)</f>
        <v>6.59090909090907E-009</v>
      </c>
      <c r="AH69" s="112" t="n">
        <f aca="false">AG69/AF69</f>
        <v>0.0113148653921186</v>
      </c>
      <c r="AI69" s="161" t="s">
        <v>248</v>
      </c>
      <c r="AJ69" s="107"/>
      <c r="AK69" s="107"/>
      <c r="AL69" s="107"/>
      <c r="AM69" s="107" t="s">
        <v>110</v>
      </c>
      <c r="AN69" s="107" t="s">
        <v>123</v>
      </c>
      <c r="AO69" s="162" t="n">
        <v>40245</v>
      </c>
      <c r="AP69" s="70" t="n">
        <f aca="false">D69/K69</f>
        <v>0.89375</v>
      </c>
      <c r="AQ69" s="107"/>
      <c r="AR69" s="107"/>
      <c r="AS69" s="107"/>
      <c r="AT69" s="107"/>
      <c r="AU69" s="107"/>
      <c r="AV69" s="107"/>
      <c r="AW69" s="107"/>
      <c r="AX69" s="107"/>
    </row>
    <row r="70" customFormat="false" ht="15" hidden="false" customHeight="true" outlineLevel="0" collapsed="false">
      <c r="A70" s="40" t="n">
        <v>0.2</v>
      </c>
      <c r="B70" s="70" t="n">
        <f aca="false">C70/J70</f>
        <v>0.909027777777778</v>
      </c>
      <c r="C70" s="19" t="n">
        <f aca="false">1000000000*D70</f>
        <v>727.222222222222</v>
      </c>
      <c r="D70" s="19" t="n">
        <v>7.27222222222222E-007</v>
      </c>
      <c r="E70" s="19" t="n">
        <v>6.6666666666667E-009</v>
      </c>
      <c r="F70" s="70" t="n">
        <f aca="false">E70/2</f>
        <v>3.33333333333335E-009</v>
      </c>
      <c r="G70" s="100" t="n">
        <f aca="false">E70/D70</f>
        <v>0.00916730328495038</v>
      </c>
      <c r="H70" s="100" t="n">
        <f aca="false">G70/2</f>
        <v>0.00458365164247519</v>
      </c>
      <c r="I70" s="64" t="n">
        <v>30</v>
      </c>
      <c r="J70" s="70" t="n">
        <f aca="false">1000000000*K70</f>
        <v>800</v>
      </c>
      <c r="K70" s="99" t="n">
        <v>8E-007</v>
      </c>
      <c r="L70" s="53" t="n">
        <v>1E-013</v>
      </c>
      <c r="M70" s="53" t="n">
        <f aca="false">L70*1000000000000</f>
        <v>0.1</v>
      </c>
      <c r="N70" s="19" t="s">
        <v>247</v>
      </c>
      <c r="O70" s="0"/>
      <c r="P70" s="0"/>
      <c r="Q70" s="0"/>
      <c r="R70" s="19" t="n">
        <v>0</v>
      </c>
      <c r="S70" s="19" t="s">
        <v>243</v>
      </c>
      <c r="T70" s="70" t="n">
        <f aca="false">A70/L70</f>
        <v>2000000000000</v>
      </c>
      <c r="U70" s="70" t="n">
        <f aca="false">I70*T70</f>
        <v>60000000000000</v>
      </c>
      <c r="V70" s="102" t="n">
        <f aca="false">I70*A70</f>
        <v>6</v>
      </c>
      <c r="W70" s="99" t="n">
        <f aca="false">AF70/K70</f>
        <v>0.909027777777778</v>
      </c>
      <c r="X70" s="99" t="n">
        <v>5.7E-007</v>
      </c>
      <c r="Y70" s="70" t="n">
        <v>7.5E-007</v>
      </c>
      <c r="Z70" s="70" t="n">
        <f aca="false">(X70+Y70)/2</f>
        <v>6.6E-007</v>
      </c>
      <c r="AA70" s="70" t="n">
        <f aca="false">(Y70-X70)/2</f>
        <v>9E-008</v>
      </c>
      <c r="AB70" s="111" t="n">
        <f aca="false">AA70/Z70</f>
        <v>0.136363636363636</v>
      </c>
      <c r="AC70" s="64" t="n">
        <v>18</v>
      </c>
      <c r="AD70" s="45" t="n">
        <v>1.297E-005</v>
      </c>
      <c r="AE70" s="45" t="n">
        <v>1.321E-005</v>
      </c>
      <c r="AF70" s="70" t="n">
        <f aca="false">(AE70+AD70)/(2*AC70)</f>
        <v>7.27222222222222E-007</v>
      </c>
      <c r="AG70" s="70" t="n">
        <f aca="false">(AE70-AD70)/(2*AC70)</f>
        <v>6.6666666666667E-009</v>
      </c>
      <c r="AH70" s="103" t="n">
        <f aca="false">AG70/AF70</f>
        <v>0.00916730328495038</v>
      </c>
      <c r="AI70" s="40" t="s">
        <v>256</v>
      </c>
      <c r="AJ70" s="0"/>
      <c r="AK70" s="0"/>
      <c r="AL70" s="0"/>
      <c r="AM70" s="19" t="s">
        <v>110</v>
      </c>
      <c r="AN70" s="19" t="s">
        <v>123</v>
      </c>
      <c r="AO70" s="157" t="n">
        <v>40253</v>
      </c>
      <c r="AP70" s="70" t="n">
        <f aca="false">D70/K70</f>
        <v>0.909027777777778</v>
      </c>
      <c r="AQ70" s="0"/>
      <c r="AR70" s="0"/>
      <c r="AS70" s="0"/>
      <c r="AT70" s="0"/>
      <c r="AU70" s="0"/>
      <c r="AV70" s="0"/>
      <c r="AW70" s="0"/>
      <c r="AX70" s="0"/>
    </row>
    <row r="71" customFormat="false" ht="15" hidden="false" customHeight="true" outlineLevel="0" collapsed="false">
      <c r="A71" s="107" t="n">
        <v>0.313</v>
      </c>
      <c r="B71" s="70" t="n">
        <f aca="false">C71/J71</f>
        <v>0.86875</v>
      </c>
      <c r="C71" s="107" t="n">
        <f aca="false">1000000000*D71</f>
        <v>695</v>
      </c>
      <c r="D71" s="20" t="n">
        <f aca="false">Z71</f>
        <v>6.95E-007</v>
      </c>
      <c r="E71" s="107" t="n">
        <v>9.61538461538462E-009</v>
      </c>
      <c r="F71" s="70" t="n">
        <f aca="false">E71/2</f>
        <v>4.80769230769231E-009</v>
      </c>
      <c r="G71" s="100" t="n">
        <f aca="false">E71/D71</f>
        <v>0.0138350857775318</v>
      </c>
      <c r="H71" s="100" t="n">
        <f aca="false">G71/2</f>
        <v>0.00691754288876591</v>
      </c>
      <c r="I71" s="108" t="n">
        <v>30</v>
      </c>
      <c r="J71" s="70" t="n">
        <f aca="false">1000000000*K71</f>
        <v>800</v>
      </c>
      <c r="K71" s="109" t="n">
        <v>8E-007</v>
      </c>
      <c r="L71" s="82" t="n">
        <v>1E-013</v>
      </c>
      <c r="M71" s="82" t="n">
        <f aca="false">L71*1000000000000</f>
        <v>0.1</v>
      </c>
      <c r="N71" s="107" t="s">
        <v>247</v>
      </c>
      <c r="O71" s="107"/>
      <c r="P71" s="107"/>
      <c r="Q71" s="107"/>
      <c r="R71" s="107" t="n">
        <v>0</v>
      </c>
      <c r="S71" s="107" t="s">
        <v>243</v>
      </c>
      <c r="T71" s="20" t="n">
        <f aca="false">A71/L71</f>
        <v>3130000000000</v>
      </c>
      <c r="U71" s="20" t="n">
        <f aca="false">I71*T71</f>
        <v>93900000000000</v>
      </c>
      <c r="V71" s="110" t="n">
        <f aca="false">I71*A71</f>
        <v>9.39</v>
      </c>
      <c r="W71" s="109" t="n">
        <f aca="false">AF71/K71</f>
        <v>0.690865384615385</v>
      </c>
      <c r="X71" s="109" t="n">
        <v>6.9E-007</v>
      </c>
      <c r="Y71" s="20" t="n">
        <v>7E-007</v>
      </c>
      <c r="Z71" s="70" t="n">
        <f aca="false">(X71+Y71)/2</f>
        <v>6.95E-007</v>
      </c>
      <c r="AA71" s="70" t="n">
        <f aca="false">(Y71-X71)/2</f>
        <v>5E-009</v>
      </c>
      <c r="AB71" s="111" t="n">
        <f aca="false">AA71/Z71</f>
        <v>0.00719424460431655</v>
      </c>
      <c r="AC71" s="108" t="n">
        <v>13</v>
      </c>
      <c r="AD71" s="20" t="n">
        <v>7.06E-006</v>
      </c>
      <c r="AE71" s="20" t="n">
        <v>7.31E-006</v>
      </c>
      <c r="AF71" s="20" t="n">
        <f aca="false">(AE71+AD71)/(2*AC71)</f>
        <v>5.52692307692308E-007</v>
      </c>
      <c r="AG71" s="20" t="n">
        <f aca="false">(AE71-AD71)/(2*AC71)</f>
        <v>9.61538461538462E-009</v>
      </c>
      <c r="AH71" s="112" t="n">
        <f aca="false">AG71/AF71</f>
        <v>0.0173973556019485</v>
      </c>
      <c r="AI71" s="106"/>
      <c r="AJ71" s="107"/>
      <c r="AK71" s="107"/>
      <c r="AL71" s="107"/>
      <c r="AM71" s="107" t="s">
        <v>110</v>
      </c>
      <c r="AN71" s="107" t="s">
        <v>123</v>
      </c>
      <c r="AO71" s="162" t="n">
        <v>40245</v>
      </c>
      <c r="AP71" s="70" t="n">
        <f aca="false">D71/K71</f>
        <v>0.86875</v>
      </c>
      <c r="AQ71" s="107"/>
      <c r="AR71" s="107"/>
      <c r="AS71" s="107"/>
      <c r="AT71" s="107"/>
      <c r="AU71" s="107"/>
      <c r="AV71" s="107"/>
      <c r="AW71" s="107"/>
      <c r="AX71" s="107"/>
    </row>
    <row r="72" customFormat="false" ht="15" hidden="false" customHeight="true" outlineLevel="0" collapsed="false">
      <c r="A72" s="19" t="n">
        <v>0.2</v>
      </c>
      <c r="B72" s="70" t="n">
        <f aca="false">C72/J72</f>
        <v>0.8905</v>
      </c>
      <c r="C72" s="19" t="n">
        <f aca="false">1000000000*D72</f>
        <v>712.4</v>
      </c>
      <c r="D72" s="19" t="n">
        <v>7.124E-007</v>
      </c>
      <c r="E72" s="19" t="n">
        <v>4.40000000000003E-009</v>
      </c>
      <c r="F72" s="70" t="n">
        <f aca="false">E72/2</f>
        <v>2.20000000000001E-009</v>
      </c>
      <c r="G72" s="100" t="n">
        <f aca="false">E72/D72</f>
        <v>0.00617630544637847</v>
      </c>
      <c r="H72" s="100" t="n">
        <f aca="false">G72/2</f>
        <v>0.00308815272318924</v>
      </c>
      <c r="I72" s="64" t="n">
        <v>40</v>
      </c>
      <c r="J72" s="70" t="n">
        <f aca="false">1000000000*K72</f>
        <v>800</v>
      </c>
      <c r="K72" s="99" t="n">
        <v>8E-007</v>
      </c>
      <c r="L72" s="53" t="n">
        <v>1E-013</v>
      </c>
      <c r="M72" s="53" t="n">
        <f aca="false">L72*1000000000000</f>
        <v>0.1</v>
      </c>
      <c r="N72" s="19" t="s">
        <v>247</v>
      </c>
      <c r="O72" s="0"/>
      <c r="P72" s="0"/>
      <c r="Q72" s="0"/>
      <c r="R72" s="19" t="n">
        <v>0</v>
      </c>
      <c r="S72" s="19" t="s">
        <v>243</v>
      </c>
      <c r="T72" s="70" t="n">
        <f aca="false">A72/L72</f>
        <v>2000000000000</v>
      </c>
      <c r="U72" s="70" t="n">
        <f aca="false">I72*T72</f>
        <v>80000000000000</v>
      </c>
      <c r="V72" s="102" t="n">
        <f aca="false">I72*A72</f>
        <v>8</v>
      </c>
      <c r="W72" s="99" t="n">
        <f aca="false">AF72/K72</f>
        <v>0.8905</v>
      </c>
      <c r="X72" s="44" t="n">
        <v>6E-007</v>
      </c>
      <c r="Y72" s="45" t="n">
        <v>7.4E-007</v>
      </c>
      <c r="Z72" s="70" t="n">
        <f aca="false">(X72+Y72)/2</f>
        <v>6.7E-007</v>
      </c>
      <c r="AA72" s="70" t="n">
        <f aca="false">(Y72-X72)/2</f>
        <v>7E-008</v>
      </c>
      <c r="AB72" s="111" t="n">
        <f aca="false">AA72/Z72</f>
        <v>0.104477611940299</v>
      </c>
      <c r="AC72" s="64" t="n">
        <v>25</v>
      </c>
      <c r="AD72" s="45" t="n">
        <v>1.77E-005</v>
      </c>
      <c r="AE72" s="45" t="n">
        <v>1.792E-005</v>
      </c>
      <c r="AF72" s="70" t="n">
        <f aca="false">(AE72+AD72)/(2*AC72)</f>
        <v>7.124E-007</v>
      </c>
      <c r="AG72" s="70" t="n">
        <f aca="false">(AE72-AD72)/(2*AC72)</f>
        <v>4.40000000000003E-009</v>
      </c>
      <c r="AH72" s="103" t="n">
        <f aca="false">AG72/AF72</f>
        <v>0.00617630544637847</v>
      </c>
      <c r="AI72" s="40" t="s">
        <v>256</v>
      </c>
      <c r="AJ72" s="0"/>
      <c r="AK72" s="0"/>
      <c r="AL72" s="0"/>
      <c r="AM72" s="19" t="s">
        <v>110</v>
      </c>
      <c r="AN72" s="19" t="s">
        <v>123</v>
      </c>
      <c r="AO72" s="157" t="n">
        <v>40253</v>
      </c>
      <c r="AP72" s="70" t="n">
        <f aca="false">D72/K72</f>
        <v>0.8905</v>
      </c>
      <c r="AQ72" s="0"/>
      <c r="AR72" s="0"/>
      <c r="AS72" s="0"/>
      <c r="AT72" s="0"/>
      <c r="AU72" s="0"/>
      <c r="AV72" s="0"/>
      <c r="AW72" s="0"/>
      <c r="AX72" s="0"/>
    </row>
    <row r="73" customFormat="false" ht="15" hidden="false" customHeight="true" outlineLevel="0" collapsed="false">
      <c r="A73" s="19" t="n">
        <v>0.2</v>
      </c>
      <c r="B73" s="70" t="n">
        <f aca="false">C73/J73</f>
        <v>0.84375</v>
      </c>
      <c r="C73" s="19" t="n">
        <f aca="false">1000000000*D73</f>
        <v>675</v>
      </c>
      <c r="D73" s="19" t="n">
        <v>6.75E-007</v>
      </c>
      <c r="E73" s="19" t="n">
        <v>7.5E-008</v>
      </c>
      <c r="F73" s="70" t="n">
        <f aca="false">E73/2</f>
        <v>3.75E-008</v>
      </c>
      <c r="G73" s="100" t="n">
        <f aca="false">E73/D73</f>
        <v>0.111111111111111</v>
      </c>
      <c r="H73" s="100" t="n">
        <f aca="false">G73/2</f>
        <v>0.0555555555555556</v>
      </c>
      <c r="I73" s="64" t="n">
        <v>50</v>
      </c>
      <c r="J73" s="70" t="n">
        <f aca="false">1000000000*K73</f>
        <v>800</v>
      </c>
      <c r="K73" s="99" t="n">
        <v>8E-007</v>
      </c>
      <c r="L73" s="53" t="n">
        <v>1E-013</v>
      </c>
      <c r="M73" s="53" t="n">
        <f aca="false">L73*1000000000000</f>
        <v>0.1</v>
      </c>
      <c r="N73" s="19" t="s">
        <v>247</v>
      </c>
      <c r="O73" s="0"/>
      <c r="P73" s="0"/>
      <c r="Q73" s="0"/>
      <c r="R73" s="19" t="n">
        <v>0</v>
      </c>
      <c r="S73" s="19" t="s">
        <v>243</v>
      </c>
      <c r="T73" s="70" t="n">
        <f aca="false">A73/L73</f>
        <v>2000000000000</v>
      </c>
      <c r="U73" s="70" t="n">
        <f aca="false">I73*T73</f>
        <v>100000000000000</v>
      </c>
      <c r="V73" s="102" t="n">
        <f aca="false">I73*A73</f>
        <v>10</v>
      </c>
      <c r="W73" s="99" t="n">
        <f aca="false">Z73/K73</f>
        <v>0.84375</v>
      </c>
      <c r="X73" s="44" t="n">
        <v>6E-007</v>
      </c>
      <c r="Y73" s="45" t="n">
        <v>7.5E-007</v>
      </c>
      <c r="Z73" s="70" t="n">
        <f aca="false">(X73+Y73)/2</f>
        <v>6.75E-007</v>
      </c>
      <c r="AA73" s="70" t="n">
        <f aca="false">(Y73-X73)/2</f>
        <v>7.5E-008</v>
      </c>
      <c r="AB73" s="111" t="n">
        <f aca="false">AA73/Z73</f>
        <v>0.111111111111111</v>
      </c>
      <c r="AC73" s="64"/>
      <c r="AD73" s="0"/>
      <c r="AE73" s="0"/>
      <c r="AF73" s="70" t="n">
        <v>6.75E-007</v>
      </c>
      <c r="AG73" s="70" t="n">
        <v>7.5E-008</v>
      </c>
      <c r="AH73" s="103" t="n">
        <v>0.111111111111111</v>
      </c>
      <c r="AI73" s="40"/>
      <c r="AJ73" s="0"/>
      <c r="AK73" s="0"/>
      <c r="AL73" s="0"/>
      <c r="AM73" s="19" t="s">
        <v>110</v>
      </c>
      <c r="AN73" s="19" t="s">
        <v>123</v>
      </c>
      <c r="AO73" s="157" t="n">
        <v>40253</v>
      </c>
      <c r="AP73" s="70" t="n">
        <f aca="false">D73/K73</f>
        <v>0.84375</v>
      </c>
      <c r="AQ73" s="0"/>
      <c r="AR73" s="0"/>
      <c r="AS73" s="0"/>
      <c r="AT73" s="0"/>
      <c r="AU73" s="0"/>
      <c r="AV73" s="0"/>
      <c r="AW73" s="0"/>
      <c r="AX73" s="0"/>
    </row>
    <row r="74" customFormat="false" ht="15" hidden="false" customHeight="true" outlineLevel="0" collapsed="false">
      <c r="A74" s="107" t="n">
        <v>0.313</v>
      </c>
      <c r="B74" s="70" t="n">
        <f aca="false">C74/J74</f>
        <v>0.690625</v>
      </c>
      <c r="C74" s="107" t="n">
        <f aca="false">1000000000*D74</f>
        <v>552.5</v>
      </c>
      <c r="D74" s="107" t="n">
        <v>5.525E-007</v>
      </c>
      <c r="E74" s="107" t="n">
        <v>9.64285714285711E-009</v>
      </c>
      <c r="F74" s="70" t="n">
        <f aca="false">E74/2</f>
        <v>4.82142857142856E-009</v>
      </c>
      <c r="G74" s="100" t="n">
        <f aca="false">E74/D74</f>
        <v>0.0174531351001939</v>
      </c>
      <c r="H74" s="100" t="n">
        <f aca="false">G74/2</f>
        <v>0.00872656755009693</v>
      </c>
      <c r="I74" s="108" t="n">
        <v>50</v>
      </c>
      <c r="J74" s="70" t="n">
        <f aca="false">1000000000*K74</f>
        <v>800</v>
      </c>
      <c r="K74" s="109" t="n">
        <v>8E-007</v>
      </c>
      <c r="L74" s="82" t="n">
        <v>1E-013</v>
      </c>
      <c r="M74" s="82" t="n">
        <f aca="false">L74*1000000000000</f>
        <v>0.1</v>
      </c>
      <c r="N74" s="107" t="s">
        <v>247</v>
      </c>
      <c r="O74" s="107"/>
      <c r="P74" s="107"/>
      <c r="Q74" s="107"/>
      <c r="R74" s="107" t="n">
        <v>0</v>
      </c>
      <c r="S74" s="107" t="s">
        <v>243</v>
      </c>
      <c r="T74" s="20" t="n">
        <f aca="false">A74/L74</f>
        <v>3130000000000</v>
      </c>
      <c r="U74" s="20" t="n">
        <f aca="false">I74*T74</f>
        <v>156500000000000</v>
      </c>
      <c r="V74" s="110" t="n">
        <f aca="false">I74*A74</f>
        <v>15.65</v>
      </c>
      <c r="W74" s="109" t="n">
        <f aca="false">AF74/K74</f>
        <v>0.690625</v>
      </c>
      <c r="X74" s="106"/>
      <c r="Y74" s="107"/>
      <c r="Z74" s="107"/>
      <c r="AA74" s="107"/>
      <c r="AB74" s="140"/>
      <c r="AC74" s="108" t="n">
        <v>14</v>
      </c>
      <c r="AD74" s="20" t="n">
        <v>7.6E-006</v>
      </c>
      <c r="AE74" s="20" t="n">
        <v>7.87E-006</v>
      </c>
      <c r="AF74" s="20" t="n">
        <f aca="false">(AE74+AD74)/(2*AC74)</f>
        <v>5.525E-007</v>
      </c>
      <c r="AG74" s="20" t="n">
        <f aca="false">(AE74-AD74)/(2*AC74)</f>
        <v>9.64285714285711E-009</v>
      </c>
      <c r="AH74" s="112" t="n">
        <f aca="false">AG74/AF74</f>
        <v>0.0174531351001939</v>
      </c>
      <c r="AI74" s="106"/>
      <c r="AJ74" s="107"/>
      <c r="AK74" s="107"/>
      <c r="AL74" s="107"/>
      <c r="AM74" s="107" t="s">
        <v>110</v>
      </c>
      <c r="AN74" s="107" t="s">
        <v>123</v>
      </c>
      <c r="AO74" s="162" t="n">
        <v>40245</v>
      </c>
      <c r="AP74" s="70" t="n">
        <f aca="false">D74/K74</f>
        <v>0.690625</v>
      </c>
      <c r="AQ74" s="107"/>
      <c r="AR74" s="107"/>
      <c r="AS74" s="107"/>
      <c r="AT74" s="107"/>
      <c r="AU74" s="107"/>
      <c r="AV74" s="107"/>
      <c r="AW74" s="107"/>
      <c r="AX74" s="107"/>
    </row>
    <row r="75" customFormat="false" ht="14.4" hidden="false" customHeight="false" outlineLevel="0" collapsed="false">
      <c r="A75" s="19" t="n">
        <v>0.5</v>
      </c>
      <c r="B75" s="70" t="n">
        <f aca="false">C75/J75</f>
        <v>0.87425</v>
      </c>
      <c r="C75" s="19" t="n">
        <f aca="false">1000000000*D75</f>
        <v>699.4</v>
      </c>
      <c r="D75" s="19" t="n">
        <v>6.994E-007</v>
      </c>
      <c r="E75" s="19" t="n">
        <v>1.22E-008</v>
      </c>
      <c r="F75" s="70" t="n">
        <f aca="false">E75/2</f>
        <v>6.09999999999999E-009</v>
      </c>
      <c r="G75" s="100" t="n">
        <f aca="false">E75/D75</f>
        <v>0.0174435230197312</v>
      </c>
      <c r="H75" s="100" t="n">
        <f aca="false">G75/2</f>
        <v>0.00872176150986559</v>
      </c>
      <c r="I75" s="19" t="n">
        <v>50</v>
      </c>
      <c r="J75" s="70" t="n">
        <f aca="false">1000000000*K75</f>
        <v>800</v>
      </c>
      <c r="K75" s="99" t="n">
        <v>8E-007</v>
      </c>
      <c r="L75" s="53" t="n">
        <v>1E-013</v>
      </c>
      <c r="M75" s="64" t="n">
        <f aca="false">L75*1000000000000</f>
        <v>0.1</v>
      </c>
      <c r="N75" s="19" t="s">
        <v>247</v>
      </c>
      <c r="O75" s="0"/>
      <c r="P75" s="0"/>
      <c r="Q75" s="0"/>
      <c r="R75" s="19" t="n">
        <v>0</v>
      </c>
      <c r="S75" s="19" t="s">
        <v>243</v>
      </c>
      <c r="T75" s="19" t="n">
        <f aca="false">A75/L75</f>
        <v>5000000000000</v>
      </c>
      <c r="U75" s="19" t="n">
        <f aca="false">I75*T75</f>
        <v>250000000000000</v>
      </c>
      <c r="V75" s="40" t="n">
        <f aca="false">I75*A75</f>
        <v>25</v>
      </c>
      <c r="W75" s="99" t="n">
        <f aca="false">AF75/K75</f>
        <v>0.87425</v>
      </c>
      <c r="X75" s="0"/>
      <c r="Y75" s="0"/>
      <c r="Z75" s="0"/>
      <c r="AA75" s="0"/>
      <c r="AB75" s="0"/>
      <c r="AC75" s="19" t="n">
        <v>25</v>
      </c>
      <c r="AD75" s="45" t="n">
        <v>1.718E-005</v>
      </c>
      <c r="AE75" s="45" t="n">
        <v>1.779E-005</v>
      </c>
      <c r="AF75" s="70" t="n">
        <f aca="false">(AE75+AD75)/(2*AC75)</f>
        <v>6.994E-007</v>
      </c>
      <c r="AG75" s="70" t="n">
        <f aca="false">(AE75-AD75)/(2*AC75)</f>
        <v>1.22E-008</v>
      </c>
      <c r="AH75" s="103" t="n">
        <f aca="false">AG75/AF75</f>
        <v>0.0174435230197312</v>
      </c>
      <c r="AI75" s="19" t="s">
        <v>251</v>
      </c>
      <c r="AJ75" s="0"/>
      <c r="AK75" s="0"/>
      <c r="AL75" s="0"/>
      <c r="AM75" s="19" t="s">
        <v>110</v>
      </c>
      <c r="AN75" s="19" t="s">
        <v>123</v>
      </c>
      <c r="AO75" s="0"/>
      <c r="AP75" s="70" t="n">
        <f aca="false">D75/K75</f>
        <v>0.87425</v>
      </c>
      <c r="AQ75" s="0"/>
      <c r="AR75" s="0"/>
      <c r="AS75" s="0"/>
      <c r="AT75" s="0"/>
      <c r="AU75" s="0"/>
      <c r="AV75" s="0"/>
      <c r="AW75" s="0"/>
      <c r="AX75" s="0"/>
    </row>
    <row r="76" customFormat="false" ht="14.4" hidden="false" customHeight="false" outlineLevel="0" collapsed="false">
      <c r="A76" s="19" t="n">
        <v>0.247</v>
      </c>
      <c r="B76" s="70" t="n">
        <f aca="false">C76/J76</f>
        <v>0.751923076923077</v>
      </c>
      <c r="C76" s="19" t="n">
        <f aca="false">1000000000*D76</f>
        <v>601.538461538462</v>
      </c>
      <c r="D76" s="19" t="n">
        <v>6.01538461538462E-007</v>
      </c>
      <c r="E76" s="19" t="n">
        <v>1.23076923076923E-008</v>
      </c>
      <c r="F76" s="0"/>
      <c r="G76" s="100" t="n">
        <f aca="false">E76/D76</f>
        <v>0.020460358056266</v>
      </c>
      <c r="H76" s="100"/>
      <c r="I76" s="19" t="n">
        <v>85</v>
      </c>
      <c r="J76" s="70" t="n">
        <f aca="false">1000000000*K76</f>
        <v>800</v>
      </c>
      <c r="K76" s="99" t="n">
        <v>8E-007</v>
      </c>
      <c r="L76" s="53" t="n">
        <v>1E-013</v>
      </c>
      <c r="M76" s="53" t="n">
        <f aca="false">L76*1000000000000</f>
        <v>0.1</v>
      </c>
      <c r="N76" s="19" t="s">
        <v>116</v>
      </c>
      <c r="O76" s="0"/>
      <c r="P76" s="0"/>
      <c r="Q76" s="0"/>
      <c r="R76" s="19" t="n">
        <v>0</v>
      </c>
      <c r="S76" s="19" t="s">
        <v>243</v>
      </c>
      <c r="T76" s="70" t="n">
        <f aca="false">A76/L76</f>
        <v>2470000000000</v>
      </c>
      <c r="U76" s="70" t="n">
        <f aca="false">I76*T76</f>
        <v>209950000000000</v>
      </c>
      <c r="V76" s="40" t="n">
        <f aca="false">I76*A76</f>
        <v>20.995</v>
      </c>
      <c r="W76" s="99" t="n">
        <f aca="false">AF76/K76</f>
        <v>0.751923076923077</v>
      </c>
      <c r="X76" s="0"/>
      <c r="Y76" s="0"/>
      <c r="Z76" s="0"/>
      <c r="AA76" s="0"/>
      <c r="AB76" s="0"/>
      <c r="AC76" s="19" t="n">
        <v>13</v>
      </c>
      <c r="AD76" s="45" t="n">
        <v>7.66E-006</v>
      </c>
      <c r="AE76" s="45" t="n">
        <v>7.98E-006</v>
      </c>
      <c r="AF76" s="70" t="n">
        <f aca="false">(AE76+AD76)/(2*AC76)</f>
        <v>6.01538461538462E-007</v>
      </c>
      <c r="AG76" s="70" t="n">
        <f aca="false">(AE76-AD76)/(2*AC76)</f>
        <v>1.23076923076923E-008</v>
      </c>
      <c r="AH76" s="103" t="n">
        <f aca="false">AG76/AF76</f>
        <v>0.020460358056266</v>
      </c>
      <c r="AI76" s="19" t="s">
        <v>262</v>
      </c>
      <c r="AJ76" s="0"/>
      <c r="AK76" s="0"/>
      <c r="AL76" s="0"/>
      <c r="AM76" s="19" t="s">
        <v>263</v>
      </c>
      <c r="AN76" s="0"/>
      <c r="AO76" s="157" t="n">
        <v>40374</v>
      </c>
      <c r="AP76" s="70" t="n">
        <f aca="false">D76/K76</f>
        <v>0.751923076923077</v>
      </c>
      <c r="AQ76" s="0"/>
      <c r="AR76" s="0"/>
      <c r="AS76" s="0"/>
      <c r="AT76" s="0"/>
      <c r="AU76" s="0"/>
      <c r="AV76" s="0"/>
      <c r="AW76" s="0"/>
      <c r="AX76" s="0"/>
    </row>
    <row r="77" customFormat="false" ht="14.4" hidden="false" customHeight="false" outlineLevel="0" collapsed="false">
      <c r="A77" s="19" t="n">
        <v>0.2</v>
      </c>
      <c r="B77" s="70" t="n">
        <f aca="false">C77/J77</f>
        <v>0.83125</v>
      </c>
      <c r="C77" s="19" t="n">
        <f aca="false">1000000000*D77</f>
        <v>665</v>
      </c>
      <c r="D77" s="19" t="n">
        <v>6.65E-007</v>
      </c>
      <c r="E77" s="19" t="n">
        <v>7.5E-008</v>
      </c>
      <c r="F77" s="70" t="n">
        <f aca="false">E77/2</f>
        <v>3.75E-008</v>
      </c>
      <c r="G77" s="100" t="n">
        <f aca="false">E77/D77</f>
        <v>0.112781954887218</v>
      </c>
      <c r="H77" s="100" t="n">
        <f aca="false">G77/2</f>
        <v>0.056390977443609</v>
      </c>
      <c r="I77" s="64" t="n">
        <v>100</v>
      </c>
      <c r="J77" s="70" t="n">
        <f aca="false">1000000000*K77</f>
        <v>800</v>
      </c>
      <c r="K77" s="99" t="n">
        <v>8E-007</v>
      </c>
      <c r="L77" s="53" t="n">
        <v>1E-013</v>
      </c>
      <c r="M77" s="53" t="n">
        <f aca="false">L77*1000000000000</f>
        <v>0.1</v>
      </c>
      <c r="N77" s="19" t="s">
        <v>247</v>
      </c>
      <c r="O77" s="0"/>
      <c r="P77" s="0"/>
      <c r="Q77" s="0"/>
      <c r="R77" s="0"/>
      <c r="S77" s="0"/>
      <c r="T77" s="70" t="n">
        <f aca="false">A77/L77</f>
        <v>2000000000000</v>
      </c>
      <c r="U77" s="70" t="n">
        <f aca="false">I77*T77</f>
        <v>200000000000000</v>
      </c>
      <c r="V77" s="102" t="n">
        <f aca="false">I77*A77</f>
        <v>20</v>
      </c>
      <c r="W77" s="99" t="n">
        <f aca="false">Z77/K77</f>
        <v>0.83125</v>
      </c>
      <c r="X77" s="44" t="n">
        <v>5.9E-007</v>
      </c>
      <c r="Y77" s="45" t="n">
        <v>7.4E-007</v>
      </c>
      <c r="Z77" s="70" t="n">
        <f aca="false">(X77+Y77)/2</f>
        <v>6.65E-007</v>
      </c>
      <c r="AA77" s="70" t="n">
        <f aca="false">(Y77-X77)/2</f>
        <v>7.5E-008</v>
      </c>
      <c r="AB77" s="111" t="n">
        <f aca="false">AA77/Z77</f>
        <v>0.112781954887218</v>
      </c>
      <c r="AC77" s="64"/>
      <c r="AD77" s="0"/>
      <c r="AE77" s="0"/>
      <c r="AF77" s="70" t="n">
        <v>6.65E-007</v>
      </c>
      <c r="AG77" s="70" t="n">
        <v>7.5E-008</v>
      </c>
      <c r="AH77" s="103" t="n">
        <v>0.112781954887218</v>
      </c>
      <c r="AI77" s="40"/>
      <c r="AJ77" s="0"/>
      <c r="AK77" s="0"/>
      <c r="AL77" s="0"/>
      <c r="AM77" s="19" t="s">
        <v>110</v>
      </c>
      <c r="AN77" s="19" t="s">
        <v>123</v>
      </c>
      <c r="AO77" s="157" t="n">
        <v>40245</v>
      </c>
      <c r="AP77" s="70" t="n">
        <f aca="false">D77/K77</f>
        <v>0.83125</v>
      </c>
      <c r="AQ77" s="0"/>
      <c r="AR77" s="0"/>
      <c r="AS77" s="0"/>
      <c r="AT77" s="0"/>
      <c r="AU77" s="0"/>
      <c r="AV77" s="0"/>
      <c r="AW77" s="0"/>
      <c r="AX77" s="0"/>
    </row>
    <row r="78" customFormat="false" ht="14.4" hidden="false" customHeight="false" outlineLevel="0" collapsed="false">
      <c r="A78" s="107" t="n">
        <v>0.313</v>
      </c>
      <c r="B78" s="70" t="n">
        <f aca="false">C78/J78</f>
        <v>0.68515625</v>
      </c>
      <c r="C78" s="107" t="n">
        <f aca="false">1000000000*D78</f>
        <v>548.125</v>
      </c>
      <c r="D78" s="107" t="n">
        <v>5.48125E-007</v>
      </c>
      <c r="E78" s="107" t="n">
        <v>2.4375E-008</v>
      </c>
      <c r="F78" s="70" t="n">
        <f aca="false">E78/2</f>
        <v>1.21875E-008</v>
      </c>
      <c r="G78" s="100" t="n">
        <f aca="false">E78/D78</f>
        <v>0.0444697833523376</v>
      </c>
      <c r="H78" s="100" t="n">
        <f aca="false">G78/2</f>
        <v>0.0222348916761688</v>
      </c>
      <c r="I78" s="108" t="n">
        <v>100</v>
      </c>
      <c r="J78" s="70" t="n">
        <f aca="false">1000000000*K78</f>
        <v>800</v>
      </c>
      <c r="K78" s="109" t="n">
        <v>8E-007</v>
      </c>
      <c r="L78" s="82" t="n">
        <v>1E-013</v>
      </c>
      <c r="M78" s="82" t="n">
        <f aca="false">L78*1000000000000</f>
        <v>0.1</v>
      </c>
      <c r="N78" s="107" t="s">
        <v>247</v>
      </c>
      <c r="O78" s="107"/>
      <c r="P78" s="107"/>
      <c r="Q78" s="107"/>
      <c r="R78" s="107" t="n">
        <v>0</v>
      </c>
      <c r="S78" s="107" t="s">
        <v>243</v>
      </c>
      <c r="T78" s="20" t="n">
        <f aca="false">A78/L78</f>
        <v>3130000000000</v>
      </c>
      <c r="U78" s="20" t="n">
        <f aca="false">I78*T78</f>
        <v>313000000000000</v>
      </c>
      <c r="V78" s="110" t="n">
        <f aca="false">I78*A78</f>
        <v>31.3</v>
      </c>
      <c r="W78" s="109" t="n">
        <f aca="false">AF78/K78</f>
        <v>0.68515625</v>
      </c>
      <c r="X78" s="106"/>
      <c r="Y78" s="107"/>
      <c r="Z78" s="107"/>
      <c r="AA78" s="107"/>
      <c r="AB78" s="140"/>
      <c r="AC78" s="108" t="n">
        <v>8</v>
      </c>
      <c r="AD78" s="20" t="n">
        <v>4.19E-006</v>
      </c>
      <c r="AE78" s="20" t="n">
        <v>4.58E-006</v>
      </c>
      <c r="AF78" s="20" t="n">
        <f aca="false">(AE78+AD78)/(2*AC78)</f>
        <v>5.48125E-007</v>
      </c>
      <c r="AG78" s="20" t="n">
        <f aca="false">(AE78-AD78)/(2*AC78)</f>
        <v>2.4375E-008</v>
      </c>
      <c r="AH78" s="112" t="n">
        <f aca="false">AG78/AF78</f>
        <v>0.0444697833523376</v>
      </c>
      <c r="AI78" s="106"/>
      <c r="AJ78" s="107"/>
      <c r="AK78" s="107"/>
      <c r="AL78" s="107"/>
      <c r="AM78" s="107" t="s">
        <v>110</v>
      </c>
      <c r="AN78" s="107" t="s">
        <v>123</v>
      </c>
      <c r="AO78" s="162" t="n">
        <v>40245</v>
      </c>
      <c r="AP78" s="70" t="n">
        <f aca="false">D78/K78</f>
        <v>0.68515625</v>
      </c>
      <c r="AQ78" s="107"/>
      <c r="AR78" s="107"/>
      <c r="AS78" s="107"/>
      <c r="AT78" s="107"/>
      <c r="AU78" s="107"/>
      <c r="AV78" s="107"/>
      <c r="AW78" s="107"/>
      <c r="AX78" s="107"/>
    </row>
    <row r="79" customFormat="false" ht="14.4" hidden="false" customHeight="false" outlineLevel="0" collapsed="false">
      <c r="A79" s="19" t="n">
        <v>0.155</v>
      </c>
      <c r="B79" s="70" t="n">
        <f aca="false">C79/J79</f>
        <v>0.7184375</v>
      </c>
      <c r="C79" s="19" t="n">
        <f aca="false">1000000000*D79</f>
        <v>574.75</v>
      </c>
      <c r="D79" s="19" t="n">
        <v>5.7475E-007</v>
      </c>
      <c r="E79" s="19" t="n">
        <v>7.75000000000001E-009</v>
      </c>
      <c r="F79" s="0"/>
      <c r="G79" s="100" t="n">
        <f aca="false">E79/D79</f>
        <v>0.0134841235319704</v>
      </c>
      <c r="H79" s="100"/>
      <c r="I79" s="19" t="n">
        <v>150</v>
      </c>
      <c r="J79" s="70" t="n">
        <f aca="false">1000000000*K79</f>
        <v>800</v>
      </c>
      <c r="K79" s="99" t="n">
        <v>8E-007</v>
      </c>
      <c r="L79" s="70" t="n">
        <v>1E-013</v>
      </c>
      <c r="M79" s="53" t="n">
        <f aca="false">L79*1000000000000</f>
        <v>0.1</v>
      </c>
      <c r="N79" s="19" t="s">
        <v>116</v>
      </c>
      <c r="O79" s="0"/>
      <c r="P79" s="0"/>
      <c r="Q79" s="0"/>
      <c r="R79" s="19" t="n">
        <v>0</v>
      </c>
      <c r="S79" s="19" t="s">
        <v>243</v>
      </c>
      <c r="T79" s="19" t="n">
        <f aca="false">A79/L79</f>
        <v>1550000000000</v>
      </c>
      <c r="U79" s="19" t="n">
        <f aca="false">I79*T79</f>
        <v>232500000000000</v>
      </c>
      <c r="V79" s="40" t="n">
        <f aca="false">I79*A79</f>
        <v>23.25</v>
      </c>
      <c r="W79" s="99" t="n">
        <f aca="false">AF79/K79</f>
        <v>0.7184375</v>
      </c>
      <c r="X79" s="0"/>
      <c r="Y79" s="0"/>
      <c r="Z79" s="0"/>
      <c r="AA79" s="0"/>
      <c r="AB79" s="0"/>
      <c r="AC79" s="19" t="n">
        <v>20</v>
      </c>
      <c r="AD79" s="45" t="n">
        <v>1.134E-005</v>
      </c>
      <c r="AE79" s="45" t="n">
        <v>1.165E-005</v>
      </c>
      <c r="AF79" s="70" t="n">
        <f aca="false">(AE79+AD79)/(2*AC79)</f>
        <v>5.7475E-007</v>
      </c>
      <c r="AG79" s="70" t="n">
        <f aca="false">(AE79-AD79)/(2*AC79)</f>
        <v>7.75000000000001E-009</v>
      </c>
      <c r="AH79" s="103" t="n">
        <f aca="false">AG79/AF79</f>
        <v>0.0134841235319704</v>
      </c>
      <c r="AI79" s="40" t="s">
        <v>262</v>
      </c>
      <c r="AJ79" s="0"/>
      <c r="AM79" s="19" t="s">
        <v>263</v>
      </c>
      <c r="AN79" s="0"/>
      <c r="AO79" s="157" t="n">
        <v>40374</v>
      </c>
      <c r="AP79" s="70" t="n">
        <f aca="false">D79/K79</f>
        <v>0.7184375</v>
      </c>
      <c r="AQ79" s="0"/>
      <c r="AR79" s="0"/>
      <c r="AS79" s="0"/>
      <c r="AT79" s="0"/>
      <c r="AU79" s="0"/>
      <c r="AV79" s="0"/>
      <c r="AW79" s="0"/>
      <c r="AX79" s="0"/>
    </row>
    <row r="80" customFormat="false" ht="14.4" hidden="false" customHeight="false" outlineLevel="0" collapsed="false">
      <c r="A80" s="19" t="n">
        <v>0.2</v>
      </c>
      <c r="B80" s="70" t="n">
        <f aca="false">C80/J80</f>
        <v>0.86875</v>
      </c>
      <c r="C80" s="70" t="n">
        <f aca="false">1000000000*D80</f>
        <v>695</v>
      </c>
      <c r="D80" s="70" t="n">
        <f aca="false">Z80</f>
        <v>6.95E-007</v>
      </c>
      <c r="E80" s="70" t="n">
        <f aca="false">AA80</f>
        <v>1.5E-008</v>
      </c>
      <c r="F80" s="70" t="n">
        <f aca="false">E80/2</f>
        <v>7.50000000000001E-009</v>
      </c>
      <c r="G80" s="100" t="n">
        <f aca="false">E80/D80</f>
        <v>0.0215827338129497</v>
      </c>
      <c r="H80" s="100" t="n">
        <f aca="false">G80/2</f>
        <v>0.0107913669064748</v>
      </c>
      <c r="I80" s="64" t="n">
        <v>1000</v>
      </c>
      <c r="J80" s="70" t="n">
        <f aca="false">1000000000*K80</f>
        <v>800</v>
      </c>
      <c r="K80" s="99" t="n">
        <v>8E-007</v>
      </c>
      <c r="L80" s="53" t="n">
        <v>1E-013</v>
      </c>
      <c r="M80" s="53" t="n">
        <f aca="false">L80*1000000000000</f>
        <v>0.1</v>
      </c>
      <c r="N80" s="19" t="s">
        <v>247</v>
      </c>
      <c r="O80" s="0"/>
      <c r="P80" s="0"/>
      <c r="Q80" s="0"/>
      <c r="R80" s="0"/>
      <c r="S80" s="0"/>
      <c r="T80" s="70" t="n">
        <f aca="false">A80/L80</f>
        <v>2000000000000</v>
      </c>
      <c r="U80" s="70" t="n">
        <f aca="false">I80*T80</f>
        <v>2000000000000000</v>
      </c>
      <c r="V80" s="102" t="n">
        <f aca="false">I80*A80</f>
        <v>200</v>
      </c>
      <c r="W80" s="99" t="n">
        <f aca="false">Z80/K80</f>
        <v>0.86875</v>
      </c>
      <c r="X80" s="44" t="n">
        <v>6.8E-007</v>
      </c>
      <c r="Y80" s="45" t="n">
        <v>7.1E-007</v>
      </c>
      <c r="Z80" s="70" t="n">
        <f aca="false">(X80+Y80)/2</f>
        <v>6.95E-007</v>
      </c>
      <c r="AA80" s="70" t="n">
        <f aca="false">(Y80-X80)/2</f>
        <v>1.5E-008</v>
      </c>
      <c r="AB80" s="111" t="n">
        <f aca="false">AA80/Z80</f>
        <v>0.0215827338129497</v>
      </c>
      <c r="AC80" s="64"/>
      <c r="AD80" s="0"/>
      <c r="AE80" s="0"/>
      <c r="AF80" s="70" t="n">
        <v>6.8E-007</v>
      </c>
      <c r="AG80" s="70" t="n">
        <v>1.6E-007</v>
      </c>
      <c r="AH80" s="103" t="n">
        <v>0.235294117647059</v>
      </c>
      <c r="AI80" s="40"/>
      <c r="AJ80" s="0"/>
      <c r="AM80" s="19" t="s">
        <v>110</v>
      </c>
      <c r="AN80" s="19" t="s">
        <v>123</v>
      </c>
      <c r="AO80" s="157" t="n">
        <v>40245</v>
      </c>
      <c r="AP80" s="70" t="n">
        <f aca="false">D80/K80</f>
        <v>0.86875</v>
      </c>
      <c r="AQ80" s="0"/>
      <c r="AR80" s="0"/>
      <c r="AS80" s="0"/>
      <c r="AT80" s="0"/>
      <c r="AU80" s="0"/>
      <c r="AV80" s="0"/>
      <c r="AW80" s="0"/>
      <c r="AX80" s="0"/>
    </row>
    <row r="81" customFormat="false" ht="15" hidden="false" customHeight="true" outlineLevel="0" collapsed="false">
      <c r="A81" s="19" t="n">
        <v>2.2</v>
      </c>
      <c r="B81" s="70" t="n">
        <f aca="false">C81/J81</f>
        <v>0.534615384615385</v>
      </c>
      <c r="C81" s="19" t="n">
        <f aca="false">1000000000*D81</f>
        <v>695</v>
      </c>
      <c r="D81" s="70" t="n">
        <v>6.95E-007</v>
      </c>
      <c r="E81" s="70" t="n">
        <v>1.3E-007</v>
      </c>
      <c r="F81" s="70" t="n">
        <f aca="false">E81/2</f>
        <v>6.5E-008</v>
      </c>
      <c r="G81" s="100" t="n">
        <f aca="false">E81/D81</f>
        <v>0.18705035971223</v>
      </c>
      <c r="H81" s="100" t="n">
        <f aca="false">G81/2</f>
        <v>0.0935251798561151</v>
      </c>
      <c r="I81" s="19" t="n">
        <v>20</v>
      </c>
      <c r="J81" s="70" t="n">
        <f aca="false">1000000000*K81</f>
        <v>1300</v>
      </c>
      <c r="K81" s="70" t="n">
        <v>1.3E-006</v>
      </c>
      <c r="L81" s="70" t="n">
        <v>1.5E-013</v>
      </c>
      <c r="M81" s="53" t="n">
        <f aca="false">L81*1000000000000</f>
        <v>0.15</v>
      </c>
      <c r="N81" s="19" t="s">
        <v>116</v>
      </c>
      <c r="O81" s="19" t="s">
        <v>260</v>
      </c>
      <c r="P81" s="70" t="n">
        <v>1.5E-006</v>
      </c>
      <c r="Q81" s="101" t="n">
        <f aca="false">P81*1000000</f>
        <v>1.5</v>
      </c>
      <c r="R81" s="19" t="n">
        <v>0</v>
      </c>
      <c r="S81" s="19" t="s">
        <v>243</v>
      </c>
      <c r="T81" s="70" t="n">
        <f aca="false">A81/L81</f>
        <v>14666666666666.7</v>
      </c>
      <c r="U81" s="70" t="n">
        <f aca="false">I81*T81</f>
        <v>293333333333333</v>
      </c>
      <c r="V81" s="102" t="n">
        <f aca="false">I81*A81</f>
        <v>44</v>
      </c>
      <c r="W81" s="40" t="n">
        <f aca="false">AF81/K81</f>
        <v>0.534615384615385</v>
      </c>
      <c r="X81" s="0"/>
      <c r="Y81" s="0"/>
      <c r="Z81" s="0"/>
      <c r="AA81" s="0"/>
      <c r="AB81" s="0"/>
      <c r="AC81" s="19" t="n">
        <v>2</v>
      </c>
      <c r="AD81" s="45" t="n">
        <v>1.13E-006</v>
      </c>
      <c r="AE81" s="45" t="n">
        <v>1.65E-006</v>
      </c>
      <c r="AF81" s="70" t="n">
        <f aca="false">(AE81+AD81)/(2*AC81)</f>
        <v>6.95E-007</v>
      </c>
      <c r="AG81" s="70" t="n">
        <f aca="false">(AE81-AD81)/(2*AC81)</f>
        <v>1.3E-007</v>
      </c>
      <c r="AH81" s="103" t="n">
        <f aca="false">AG81/AF81</f>
        <v>0.18705035971223</v>
      </c>
      <c r="AI81" s="0"/>
      <c r="AJ81" s="19" t="s">
        <v>264</v>
      </c>
      <c r="AM81" s="19" t="s">
        <v>110</v>
      </c>
      <c r="AN81" s="19" t="n">
        <v>100</v>
      </c>
      <c r="AO81" s="157" t="n">
        <v>40487</v>
      </c>
      <c r="AP81" s="70" t="n">
        <f aca="false">D81/K81</f>
        <v>0.534615384615385</v>
      </c>
      <c r="AQ81" s="0"/>
      <c r="AR81" s="0"/>
      <c r="AS81" s="0"/>
      <c r="AT81" s="0"/>
      <c r="AU81" s="0"/>
      <c r="AV81" s="0"/>
      <c r="AW81" s="0"/>
      <c r="AX81" s="0"/>
    </row>
    <row r="82" customFormat="false" ht="15" hidden="false" customHeight="true" outlineLevel="0" collapsed="false">
      <c r="A82" s="19" t="n">
        <v>2.2</v>
      </c>
      <c r="B82" s="70" t="n">
        <f aca="false">C82/J82</f>
        <v>0.634615384615385</v>
      </c>
      <c r="C82" s="19" t="n">
        <f aca="false">1000000000*D82</f>
        <v>825</v>
      </c>
      <c r="D82" s="70" t="n">
        <v>8.25E-007</v>
      </c>
      <c r="E82" s="70" t="n">
        <v>1.35E-007</v>
      </c>
      <c r="F82" s="70" t="n">
        <f aca="false">E82/2</f>
        <v>6.75E-008</v>
      </c>
      <c r="G82" s="100" t="n">
        <f aca="false">E82/D82</f>
        <v>0.163636363636364</v>
      </c>
      <c r="H82" s="100" t="n">
        <f aca="false">G82/2</f>
        <v>0.0818181818181818</v>
      </c>
      <c r="I82" s="19" t="n">
        <v>20</v>
      </c>
      <c r="J82" s="70" t="n">
        <f aca="false">1000000000*K82</f>
        <v>1300</v>
      </c>
      <c r="K82" s="70" t="n">
        <v>1.3E-006</v>
      </c>
      <c r="L82" s="70" t="n">
        <v>1.5E-013</v>
      </c>
      <c r="M82" s="53" t="n">
        <f aca="false">L82*1000000000000</f>
        <v>0.15</v>
      </c>
      <c r="N82" s="19" t="s">
        <v>116</v>
      </c>
      <c r="O82" s="19" t="s">
        <v>260</v>
      </c>
      <c r="P82" s="70" t="n">
        <v>1.5E-006</v>
      </c>
      <c r="Q82" s="101" t="n">
        <f aca="false">P82*1000000</f>
        <v>1.5</v>
      </c>
      <c r="R82" s="19" t="n">
        <v>0</v>
      </c>
      <c r="S82" s="19" t="s">
        <v>243</v>
      </c>
      <c r="T82" s="70" t="n">
        <f aca="false">A82/L82</f>
        <v>14666666666666.7</v>
      </c>
      <c r="U82" s="70" t="n">
        <f aca="false">I82*T82</f>
        <v>293333333333333</v>
      </c>
      <c r="V82" s="102" t="n">
        <f aca="false">I82*A82</f>
        <v>44</v>
      </c>
      <c r="W82" s="40" t="n">
        <f aca="false">AF82/K82</f>
        <v>0.634615384615385</v>
      </c>
      <c r="X82" s="0"/>
      <c r="Y82" s="0"/>
      <c r="Z82" s="0"/>
      <c r="AA82" s="0"/>
      <c r="AB82" s="0"/>
      <c r="AC82" s="19" t="n">
        <v>2</v>
      </c>
      <c r="AD82" s="45" t="n">
        <v>1.38E-006</v>
      </c>
      <c r="AE82" s="45" t="n">
        <v>1.92E-006</v>
      </c>
      <c r="AF82" s="70" t="n">
        <f aca="false">(AE82+AD82)/(2*AC82)</f>
        <v>8.25E-007</v>
      </c>
      <c r="AG82" s="70" t="n">
        <f aca="false">(AE82-AD82)/(2*AC82)</f>
        <v>1.35E-007</v>
      </c>
      <c r="AH82" s="103" t="n">
        <f aca="false">AG82/AF82</f>
        <v>0.163636363636364</v>
      </c>
      <c r="AI82" s="0"/>
      <c r="AJ82" s="19" t="s">
        <v>264</v>
      </c>
      <c r="AM82" s="19" t="s">
        <v>110</v>
      </c>
      <c r="AN82" s="19" t="n">
        <v>100</v>
      </c>
      <c r="AO82" s="157" t="n">
        <v>40487</v>
      </c>
      <c r="AP82" s="70" t="n">
        <f aca="false">D82/K82</f>
        <v>0.634615384615385</v>
      </c>
      <c r="AQ82" s="0"/>
      <c r="AR82" s="0"/>
      <c r="AS82" s="0"/>
      <c r="AT82" s="0"/>
      <c r="AU82" s="0"/>
      <c r="AV82" s="0"/>
      <c r="AW82" s="0"/>
      <c r="AX82" s="0"/>
    </row>
    <row r="83" customFormat="false" ht="15" hidden="false" customHeight="true" outlineLevel="0" collapsed="false">
      <c r="A83" s="19" t="n">
        <v>0.1</v>
      </c>
      <c r="B83" s="70" t="n">
        <f aca="false">C83/J83</f>
        <v>0.775</v>
      </c>
      <c r="C83" s="19" t="n">
        <f aca="false">1000000000*D83</f>
        <v>620</v>
      </c>
      <c r="D83" s="70" t="n">
        <f aca="false">Z83</f>
        <v>6.2E-007</v>
      </c>
      <c r="E83" s="70" t="n">
        <f aca="false">AA83</f>
        <v>1E-008</v>
      </c>
      <c r="F83" s="70"/>
      <c r="G83" s="100" t="n">
        <f aca="false">E83/D83</f>
        <v>0.0161290322580645</v>
      </c>
      <c r="H83" s="100"/>
      <c r="I83" s="19" t="n">
        <v>200</v>
      </c>
      <c r="J83" s="19" t="n">
        <f aca="false">K83*1000000000</f>
        <v>800</v>
      </c>
      <c r="K83" s="70" t="n">
        <v>8E-007</v>
      </c>
      <c r="L83" s="70" t="n">
        <v>1E-013</v>
      </c>
      <c r="M83" s="19" t="n">
        <f aca="false">L83*1000000000000</f>
        <v>0.1</v>
      </c>
      <c r="N83" s="19" t="s">
        <v>116</v>
      </c>
      <c r="O83" s="19" t="s">
        <v>242</v>
      </c>
      <c r="P83" s="70" t="n">
        <v>3.1E-005</v>
      </c>
      <c r="Q83" s="19" t="n">
        <v>31</v>
      </c>
      <c r="R83" s="19" t="n">
        <v>0</v>
      </c>
      <c r="S83" s="19" t="s">
        <v>243</v>
      </c>
      <c r="T83" s="19" t="n">
        <f aca="false">A83/L83</f>
        <v>1000000000000</v>
      </c>
      <c r="U83" s="19" t="n">
        <f aca="false">I83*T83</f>
        <v>200000000000000</v>
      </c>
      <c r="V83" s="40" t="n">
        <f aca="false">I83*A83</f>
        <v>20</v>
      </c>
      <c r="W83" s="99" t="n">
        <f aca="false">Z83/K83</f>
        <v>0.775</v>
      </c>
      <c r="X83" s="44" t="n">
        <v>6.1E-007</v>
      </c>
      <c r="Y83" s="45" t="n">
        <v>6.3E-007</v>
      </c>
      <c r="Z83" s="70" t="n">
        <f aca="false">(X83+Y83)/2</f>
        <v>6.2E-007</v>
      </c>
      <c r="AA83" s="70" t="n">
        <f aca="false">(Y83-X83)/2</f>
        <v>1E-008</v>
      </c>
      <c r="AB83" s="111" t="n">
        <f aca="false">AA83/Z83</f>
        <v>0.0161290322580645</v>
      </c>
      <c r="AI83" s="19" t="s">
        <v>265</v>
      </c>
      <c r="AQ83" s="0"/>
      <c r="AR83" s="0"/>
      <c r="AS83" s="0"/>
      <c r="AT83" s="0"/>
      <c r="AU83" s="0"/>
      <c r="AV83" s="0"/>
      <c r="AW83" s="0"/>
      <c r="AX83" s="0"/>
    </row>
    <row r="84" customFormat="false" ht="15" hidden="false" customHeight="true" outlineLevel="0" collapsed="false">
      <c r="A84" s="19" t="n">
        <v>0.1</v>
      </c>
      <c r="B84" s="70" t="n">
        <f aca="false">C84/J84</f>
        <v>0.775</v>
      </c>
      <c r="C84" s="19" t="n">
        <f aca="false">1000000000*D84</f>
        <v>620</v>
      </c>
      <c r="D84" s="70" t="n">
        <f aca="false">Z84</f>
        <v>6.2E-007</v>
      </c>
      <c r="E84" s="70" t="n">
        <f aca="false">AA84</f>
        <v>5E-008</v>
      </c>
      <c r="F84" s="70"/>
      <c r="G84" s="100" t="n">
        <f aca="false">E84/D84</f>
        <v>0.0806451612903226</v>
      </c>
      <c r="H84" s="100"/>
      <c r="I84" s="19" t="n">
        <v>400</v>
      </c>
      <c r="J84" s="19" t="n">
        <f aca="false">K84*1000000000</f>
        <v>800</v>
      </c>
      <c r="K84" s="70" t="n">
        <v>8E-007</v>
      </c>
      <c r="L84" s="70" t="n">
        <v>1E-013</v>
      </c>
      <c r="M84" s="19" t="n">
        <f aca="false">L84*1000000000000</f>
        <v>0.1</v>
      </c>
      <c r="N84" s="19" t="s">
        <v>116</v>
      </c>
      <c r="O84" s="19" t="s">
        <v>242</v>
      </c>
      <c r="P84" s="70" t="n">
        <v>3.2E-005</v>
      </c>
      <c r="Q84" s="19" t="n">
        <v>32</v>
      </c>
      <c r="R84" s="19" t="n">
        <v>0</v>
      </c>
      <c r="S84" s="19" t="s">
        <v>243</v>
      </c>
      <c r="T84" s="19" t="n">
        <f aca="false">A84/L84</f>
        <v>1000000000000</v>
      </c>
      <c r="U84" s="19" t="n">
        <f aca="false">I84*T84</f>
        <v>400000000000000</v>
      </c>
      <c r="V84" s="40" t="n">
        <f aca="false">I84*A84</f>
        <v>40</v>
      </c>
      <c r="W84" s="99" t="n">
        <f aca="false">Z84/K84</f>
        <v>0.775</v>
      </c>
      <c r="X84" s="44" t="n">
        <v>5.7E-007</v>
      </c>
      <c r="Y84" s="45" t="n">
        <v>6.7E-007</v>
      </c>
      <c r="Z84" s="70" t="n">
        <f aca="false">(X84+Y84)/2</f>
        <v>6.2E-007</v>
      </c>
      <c r="AA84" s="70" t="n">
        <f aca="false">(Y84-X84)/2</f>
        <v>5E-008</v>
      </c>
      <c r="AB84" s="111" t="n">
        <f aca="false">AA84/Z84</f>
        <v>0.0806451612903226</v>
      </c>
      <c r="AI84" s="19" t="s">
        <v>265</v>
      </c>
      <c r="AQ84" s="0"/>
      <c r="AR84" s="0"/>
      <c r="AS84" s="0"/>
      <c r="AT84" s="0"/>
      <c r="AU84" s="0"/>
      <c r="AV84" s="0"/>
      <c r="AW84" s="0"/>
      <c r="AX84" s="0"/>
    </row>
    <row r="85" customFormat="false" ht="15" hidden="false" customHeight="true" outlineLevel="0" collapsed="false">
      <c r="A85" s="19" t="n">
        <v>0.1</v>
      </c>
      <c r="B85" s="70" t="n">
        <f aca="false">C85/J85</f>
        <v>0.8</v>
      </c>
      <c r="C85" s="19" t="n">
        <f aca="false">1000000000*D85</f>
        <v>640</v>
      </c>
      <c r="D85" s="70" t="n">
        <f aca="false">Z85</f>
        <v>6.4E-007</v>
      </c>
      <c r="E85" s="70" t="n">
        <f aca="false">AA85</f>
        <v>9.99999999999996E-009</v>
      </c>
      <c r="F85" s="70"/>
      <c r="G85" s="100" t="n">
        <f aca="false">E85/D85</f>
        <v>0.0156249999999999</v>
      </c>
      <c r="H85" s="100"/>
      <c r="I85" s="19" t="n">
        <v>500</v>
      </c>
      <c r="J85" s="19" t="n">
        <f aca="false">K85*1000000000</f>
        <v>800</v>
      </c>
      <c r="K85" s="70" t="n">
        <v>8E-007</v>
      </c>
      <c r="L85" s="70" t="n">
        <v>1E-013</v>
      </c>
      <c r="M85" s="19" t="n">
        <f aca="false">L85*1000000000000</f>
        <v>0.1</v>
      </c>
      <c r="N85" s="19" t="s">
        <v>116</v>
      </c>
      <c r="O85" s="19" t="s">
        <v>242</v>
      </c>
      <c r="P85" s="70" t="n">
        <v>3.2E-005</v>
      </c>
      <c r="Q85" s="19" t="n">
        <v>32</v>
      </c>
      <c r="R85" s="19" t="n">
        <v>0</v>
      </c>
      <c r="S85" s="19" t="s">
        <v>243</v>
      </c>
      <c r="T85" s="19" t="n">
        <f aca="false">A85/L85</f>
        <v>1000000000000</v>
      </c>
      <c r="U85" s="19" t="n">
        <f aca="false">I85*T85</f>
        <v>500000000000000</v>
      </c>
      <c r="V85" s="40" t="n">
        <f aca="false">I85*A85</f>
        <v>50</v>
      </c>
      <c r="W85" s="99" t="n">
        <f aca="false">Z85/K85</f>
        <v>0.8</v>
      </c>
      <c r="X85" s="44" t="n">
        <v>6.3E-007</v>
      </c>
      <c r="Y85" s="45" t="n">
        <v>6.5E-007</v>
      </c>
      <c r="Z85" s="70" t="n">
        <f aca="false">(X85+Y85)/2</f>
        <v>6.4E-007</v>
      </c>
      <c r="AA85" s="70" t="n">
        <f aca="false">(Y85-X85)/2</f>
        <v>9.99999999999996E-009</v>
      </c>
      <c r="AB85" s="111" t="n">
        <f aca="false">AA85/Z85</f>
        <v>0.0156249999999999</v>
      </c>
      <c r="AQ85" s="0"/>
      <c r="AR85" s="0"/>
      <c r="AS85" s="0"/>
      <c r="AT85" s="0"/>
      <c r="AU85" s="0"/>
      <c r="AV85" s="0"/>
      <c r="AW85" s="0"/>
      <c r="AX85" s="0"/>
    </row>
    <row r="86" customFormat="false" ht="15" hidden="false" customHeight="true" outlineLevel="0" collapsed="false">
      <c r="A86" s="19" t="n">
        <v>0.1</v>
      </c>
      <c r="B86" s="70" t="n">
        <f aca="false">C86/J86</f>
        <v>0.75</v>
      </c>
      <c r="C86" s="19" t="n">
        <f aca="false">1000000000*D86</f>
        <v>600</v>
      </c>
      <c r="D86" s="70" t="n">
        <f aca="false">Z86</f>
        <v>6E-007</v>
      </c>
      <c r="E86" s="70" t="n">
        <f aca="false">AA86</f>
        <v>4E-008</v>
      </c>
      <c r="F86" s="70"/>
      <c r="G86" s="100" t="n">
        <f aca="false">E86/D86</f>
        <v>0.0666666666666667</v>
      </c>
      <c r="H86" s="100"/>
      <c r="I86" s="19" t="n">
        <v>800</v>
      </c>
      <c r="J86" s="19" t="n">
        <f aca="false">K86*1000000000</f>
        <v>800</v>
      </c>
      <c r="K86" s="70" t="n">
        <v>8E-007</v>
      </c>
      <c r="L86" s="70" t="n">
        <v>1E-013</v>
      </c>
      <c r="M86" s="19" t="n">
        <f aca="false">L86*1000000000000</f>
        <v>0.1</v>
      </c>
      <c r="N86" s="19" t="s">
        <v>116</v>
      </c>
      <c r="O86" s="19" t="s">
        <v>242</v>
      </c>
      <c r="P86" s="70" t="n">
        <v>3.5E-005</v>
      </c>
      <c r="Q86" s="19" t="n">
        <v>35</v>
      </c>
      <c r="R86" s="19" t="n">
        <v>0</v>
      </c>
      <c r="S86" s="19" t="s">
        <v>243</v>
      </c>
      <c r="T86" s="19" t="n">
        <f aca="false">A86/L86</f>
        <v>1000000000000</v>
      </c>
      <c r="U86" s="19" t="n">
        <f aca="false">I86*T86</f>
        <v>800000000000000</v>
      </c>
      <c r="V86" s="40" t="n">
        <f aca="false">I86*A86</f>
        <v>80</v>
      </c>
      <c r="W86" s="99" t="n">
        <f aca="false">Z86/K86</f>
        <v>0.75</v>
      </c>
      <c r="X86" s="44" t="n">
        <v>5.6E-007</v>
      </c>
      <c r="Y86" s="45" t="n">
        <v>6.4E-007</v>
      </c>
      <c r="Z86" s="70" t="n">
        <f aca="false">(X86+Y86)/2</f>
        <v>6E-007</v>
      </c>
      <c r="AA86" s="70" t="n">
        <f aca="false">(Y86-X86)/2</f>
        <v>4E-008</v>
      </c>
      <c r="AB86" s="111" t="n">
        <f aca="false">AA86/Z86</f>
        <v>0.0666666666666667</v>
      </c>
      <c r="AQ86" s="0"/>
      <c r="AR86" s="0"/>
      <c r="AS86" s="0"/>
      <c r="AT86" s="0"/>
      <c r="AU86" s="0"/>
      <c r="AV86" s="0"/>
      <c r="AW86" s="0"/>
      <c r="AX86" s="0"/>
    </row>
    <row r="87" customFormat="false" ht="15" hidden="false" customHeight="true" outlineLevel="0" collapsed="false">
      <c r="A87" s="19" t="n">
        <v>0.2</v>
      </c>
      <c r="B87" s="70" t="n">
        <f aca="false">C87/J87</f>
        <v>0.75625</v>
      </c>
      <c r="C87" s="19" t="n">
        <f aca="false">1000000000*D87</f>
        <v>605</v>
      </c>
      <c r="D87" s="19" t="n">
        <f aca="false">Z87</f>
        <v>6.05E-007</v>
      </c>
      <c r="E87" s="19" t="n">
        <f aca="false">AA87</f>
        <v>3.5E-008</v>
      </c>
      <c r="F87" s="0"/>
      <c r="G87" s="100" t="n">
        <f aca="false">E87/D87</f>
        <v>0.0578512396694216</v>
      </c>
      <c r="H87" s="100"/>
      <c r="I87" s="19" t="n">
        <v>200</v>
      </c>
      <c r="J87" s="19" t="n">
        <f aca="false">K87*1000000000</f>
        <v>800</v>
      </c>
      <c r="K87" s="70" t="n">
        <v>8E-007</v>
      </c>
      <c r="L87" s="70" t="n">
        <v>1E-013</v>
      </c>
      <c r="M87" s="19" t="n">
        <f aca="false">L87*1000000000000</f>
        <v>0.1</v>
      </c>
      <c r="N87" s="19" t="s">
        <v>116</v>
      </c>
      <c r="O87" s="19" t="s">
        <v>242</v>
      </c>
      <c r="P87" s="0"/>
      <c r="Q87" s="0"/>
      <c r="R87" s="19" t="n">
        <v>0</v>
      </c>
      <c r="S87" s="19" t="s">
        <v>243</v>
      </c>
      <c r="T87" s="19" t="n">
        <f aca="false">A87/L87</f>
        <v>2000000000000</v>
      </c>
      <c r="U87" s="19" t="n">
        <f aca="false">I87*T87</f>
        <v>400000000000000</v>
      </c>
      <c r="V87" s="40" t="n">
        <f aca="false">I87*A87</f>
        <v>40</v>
      </c>
      <c r="W87" s="99" t="n">
        <f aca="false">Z87/K87</f>
        <v>0.75625</v>
      </c>
      <c r="X87" s="44" t="n">
        <v>5.7E-007</v>
      </c>
      <c r="Y87" s="45" t="n">
        <v>6.4E-007</v>
      </c>
      <c r="Z87" s="19" t="n">
        <f aca="false">(X87+Y87)/2</f>
        <v>6.05E-007</v>
      </c>
      <c r="AA87" s="19" t="n">
        <f aca="false">(Y87-X87)/2</f>
        <v>3.5E-008</v>
      </c>
      <c r="AB87" s="41" t="n">
        <f aca="false">AA87/Z87</f>
        <v>0.0578512396694216</v>
      </c>
      <c r="AQ87" s="0"/>
      <c r="AR87" s="0"/>
      <c r="AS87" s="0"/>
      <c r="AT87" s="0"/>
      <c r="AU87" s="0"/>
      <c r="AV87" s="0"/>
      <c r="AW87" s="0"/>
      <c r="AX87" s="0"/>
    </row>
    <row r="88" customFormat="false" ht="15" hidden="false" customHeight="true" outlineLevel="0" collapsed="false">
      <c r="A88" s="19" t="n">
        <v>0.2</v>
      </c>
      <c r="B88" s="70" t="n">
        <f aca="false">C88/J88</f>
        <v>0.775</v>
      </c>
      <c r="C88" s="19" t="n">
        <f aca="false">1000000000*D88</f>
        <v>620</v>
      </c>
      <c r="D88" s="19" t="n">
        <f aca="false">Z88</f>
        <v>6.2E-007</v>
      </c>
      <c r="E88" s="19" t="n">
        <f aca="false">AA88</f>
        <v>4E-008</v>
      </c>
      <c r="F88" s="0"/>
      <c r="G88" s="100" t="n">
        <f aca="false">E88/D88</f>
        <v>0.0645161290322581</v>
      </c>
      <c r="H88" s="100"/>
      <c r="I88" s="19" t="n">
        <v>300</v>
      </c>
      <c r="J88" s="19" t="n">
        <f aca="false">K88*1000000000</f>
        <v>800</v>
      </c>
      <c r="K88" s="70" t="n">
        <v>8E-007</v>
      </c>
      <c r="L88" s="70" t="n">
        <v>1E-013</v>
      </c>
      <c r="M88" s="19" t="n">
        <f aca="false">L88*1000000000000</f>
        <v>0.1</v>
      </c>
      <c r="N88" s="19" t="s">
        <v>116</v>
      </c>
      <c r="O88" s="19" t="s">
        <v>242</v>
      </c>
      <c r="P88" s="0"/>
      <c r="Q88" s="0"/>
      <c r="R88" s="19" t="n">
        <v>0</v>
      </c>
      <c r="S88" s="19" t="s">
        <v>243</v>
      </c>
      <c r="T88" s="19" t="n">
        <f aca="false">A88/L88</f>
        <v>2000000000000</v>
      </c>
      <c r="U88" s="19" t="n">
        <f aca="false">I88*T88</f>
        <v>600000000000000</v>
      </c>
      <c r="V88" s="40" t="n">
        <f aca="false">I88*A88</f>
        <v>60</v>
      </c>
      <c r="W88" s="99" t="n">
        <f aca="false">Z88/K88</f>
        <v>0.775</v>
      </c>
      <c r="X88" s="44" t="n">
        <v>5.8E-007</v>
      </c>
      <c r="Y88" s="45" t="n">
        <v>6.6E-007</v>
      </c>
      <c r="Z88" s="19" t="n">
        <f aca="false">(X88+Y88)/2</f>
        <v>6.2E-007</v>
      </c>
      <c r="AA88" s="19" t="n">
        <f aca="false">(Y88-X88)/2</f>
        <v>4E-008</v>
      </c>
      <c r="AB88" s="41" t="n">
        <f aca="false">AA88/Z88</f>
        <v>0.0645161290322581</v>
      </c>
      <c r="AQ88" s="0"/>
      <c r="AR88" s="0"/>
      <c r="AS88" s="0"/>
      <c r="AT88" s="0"/>
      <c r="AU88" s="0"/>
      <c r="AV88" s="0"/>
      <c r="AW88" s="0"/>
      <c r="AX88" s="0"/>
    </row>
    <row r="89" customFormat="false" ht="15" hidden="false" customHeight="true" outlineLevel="0" collapsed="false">
      <c r="A89" s="19" t="n">
        <v>0.2</v>
      </c>
      <c r="B89" s="70" t="n">
        <f aca="false">C89/J89</f>
        <v>0.78125</v>
      </c>
      <c r="C89" s="19" t="n">
        <f aca="false">1000000000*D89</f>
        <v>625</v>
      </c>
      <c r="D89" s="19" t="n">
        <f aca="false">Z89</f>
        <v>6.25E-007</v>
      </c>
      <c r="E89" s="19" t="n">
        <f aca="false">AA89</f>
        <v>2.5E-008</v>
      </c>
      <c r="F89" s="0"/>
      <c r="G89" s="100" t="n">
        <f aca="false">E89/D89</f>
        <v>0.04</v>
      </c>
      <c r="H89" s="100"/>
      <c r="I89" s="19" t="n">
        <v>400</v>
      </c>
      <c r="J89" s="19" t="n">
        <f aca="false">K89*1000000000</f>
        <v>800</v>
      </c>
      <c r="K89" s="70" t="n">
        <v>8E-007</v>
      </c>
      <c r="L89" s="70" t="n">
        <v>1E-013</v>
      </c>
      <c r="M89" s="19" t="n">
        <f aca="false">L89*1000000000000</f>
        <v>0.1</v>
      </c>
      <c r="N89" s="19" t="s">
        <v>116</v>
      </c>
      <c r="O89" s="19" t="s">
        <v>242</v>
      </c>
      <c r="P89" s="0"/>
      <c r="Q89" s="0"/>
      <c r="R89" s="19" t="n">
        <v>0</v>
      </c>
      <c r="S89" s="19" t="s">
        <v>243</v>
      </c>
      <c r="T89" s="19" t="n">
        <f aca="false">A89/L89</f>
        <v>2000000000000</v>
      </c>
      <c r="U89" s="19" t="n">
        <f aca="false">I89*T89</f>
        <v>800000000000000</v>
      </c>
      <c r="V89" s="40" t="n">
        <f aca="false">I89*A89</f>
        <v>80</v>
      </c>
      <c r="W89" s="99" t="n">
        <f aca="false">Z89/K89</f>
        <v>0.78125</v>
      </c>
      <c r="X89" s="44" t="n">
        <v>6E-007</v>
      </c>
      <c r="Y89" s="45" t="n">
        <v>6.5E-007</v>
      </c>
      <c r="Z89" s="19" t="n">
        <f aca="false">(X89+Y89)/2</f>
        <v>6.25E-007</v>
      </c>
      <c r="AA89" s="19" t="n">
        <f aca="false">(Y89-X89)/2</f>
        <v>2.5E-008</v>
      </c>
      <c r="AB89" s="41" t="n">
        <f aca="false">AA89/Z89</f>
        <v>0.04</v>
      </c>
      <c r="AQ89" s="0"/>
      <c r="AR89" s="0"/>
      <c r="AS89" s="0"/>
      <c r="AT89" s="0"/>
      <c r="AU89" s="0"/>
      <c r="AV89" s="0"/>
      <c r="AW89" s="0"/>
      <c r="AX89" s="0"/>
    </row>
    <row r="90" customFormat="false" ht="15" hidden="false" customHeight="tru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Q90" s="0"/>
      <c r="AR90" s="0"/>
      <c r="AS90" s="0"/>
      <c r="AT90" s="0"/>
      <c r="AU90" s="0"/>
      <c r="AV90" s="0"/>
      <c r="AW90" s="0"/>
      <c r="AX90" s="0"/>
    </row>
    <row r="91" customFormat="false" ht="15" hidden="false" customHeight="tru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Q91" s="0"/>
      <c r="AR91" s="0"/>
      <c r="AS91" s="0"/>
      <c r="AT91" s="0"/>
      <c r="AU91" s="0"/>
      <c r="AV91" s="0"/>
      <c r="AW91" s="0"/>
      <c r="AX91" s="0"/>
    </row>
    <row r="92" customFormat="false" ht="15" hidden="false" customHeight="tru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Q92" s="0"/>
      <c r="AR92" s="0"/>
      <c r="AS92" s="0"/>
      <c r="AT92" s="0"/>
      <c r="AU92" s="0"/>
      <c r="AV92" s="0"/>
      <c r="AW92" s="0"/>
      <c r="AX92" s="0"/>
    </row>
    <row r="93" customFormat="false" ht="15" hidden="false" customHeight="tru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Q93" s="0"/>
      <c r="AR93" s="0"/>
      <c r="AS93" s="0"/>
      <c r="AT93" s="0"/>
      <c r="AU93" s="0"/>
      <c r="AV93" s="0"/>
      <c r="AW93" s="0"/>
      <c r="AX93" s="0"/>
    </row>
    <row r="94" customFormat="false" ht="15" hidden="false" customHeight="tru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Q94" s="0"/>
      <c r="AR94" s="0"/>
      <c r="AS94" s="0"/>
      <c r="AT94" s="0"/>
      <c r="AU94" s="0"/>
      <c r="AV94" s="0"/>
      <c r="AW94" s="0"/>
      <c r="AX94" s="0"/>
    </row>
    <row r="95" customFormat="false" ht="15" hidden="false" customHeight="tru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Q95" s="0"/>
      <c r="AR95" s="0"/>
      <c r="AS95" s="0"/>
      <c r="AT95" s="0"/>
      <c r="AU95" s="0"/>
      <c r="AV95" s="0"/>
      <c r="AW95" s="0"/>
      <c r="AX95" s="0"/>
    </row>
    <row r="96" customFormat="false" ht="15" hidden="false" customHeight="tru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Q96" s="0"/>
      <c r="AR96" s="0"/>
      <c r="AS96" s="0"/>
      <c r="AT96" s="0"/>
      <c r="AU96" s="0"/>
      <c r="AV96" s="0"/>
      <c r="AW96" s="0"/>
      <c r="AX96" s="0"/>
    </row>
    <row r="97" customFormat="false" ht="15" hidden="false" customHeight="tru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Q97" s="0"/>
      <c r="AR97" s="0"/>
      <c r="AS97" s="0"/>
      <c r="AT97" s="0"/>
      <c r="AU97" s="0"/>
      <c r="AV97" s="0"/>
      <c r="AW97" s="0"/>
      <c r="AX97" s="0"/>
    </row>
    <row r="98" customFormat="false" ht="15" hidden="false" customHeight="tru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Q98" s="0"/>
      <c r="AR98" s="0"/>
      <c r="AS98" s="0"/>
      <c r="AT98" s="0"/>
      <c r="AU98" s="0"/>
      <c r="AV98" s="0"/>
      <c r="AW98" s="0"/>
      <c r="AX98" s="0"/>
    </row>
    <row r="99" customFormat="false" ht="15" hidden="false" customHeight="tru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Q99" s="40" t="s">
        <v>266</v>
      </c>
      <c r="AR99" s="40"/>
      <c r="AS99" s="128"/>
      <c r="AT99" s="98"/>
      <c r="AU99" s="98"/>
      <c r="AV99" s="136"/>
      <c r="AW99" s="98"/>
      <c r="AX99" s="98"/>
    </row>
    <row r="100" customFormat="false" ht="15" hidden="false" customHeight="tru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Q100" s="163" t="s">
        <v>267</v>
      </c>
      <c r="AR100" s="163"/>
      <c r="AS100" s="164"/>
      <c r="AT100" s="164"/>
      <c r="AU100" s="164"/>
      <c r="AV100" s="165"/>
      <c r="AW100" s="165"/>
      <c r="AX100" s="0"/>
    </row>
    <row r="101" customFormat="false" ht="15" hidden="false" customHeight="tru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Q101" s="166" t="s">
        <v>268</v>
      </c>
      <c r="AR101" s="166"/>
      <c r="AS101" s="166" t="s">
        <v>269</v>
      </c>
      <c r="AT101" s="167" t="s">
        <v>270</v>
      </c>
      <c r="AU101" s="167"/>
      <c r="AV101" s="168" t="s">
        <v>271</v>
      </c>
      <c r="AW101" s="169" t="s">
        <v>272</v>
      </c>
      <c r="AX101" s="0"/>
    </row>
    <row r="102" customFormat="false" ht="15" hidden="false" customHeight="tru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Q102" s="40" t="n">
        <v>0.2</v>
      </c>
      <c r="AR102" s="40"/>
      <c r="AS102" s="99" t="n">
        <f aca="false">AVERAGE(AF2:AF15)</f>
        <v>7.55701814058957E-007</v>
      </c>
      <c r="AT102" s="70" t="n">
        <f aca="false">MAX(AG2:AG9)</f>
        <v>4.8E-008</v>
      </c>
      <c r="AU102" s="70"/>
      <c r="AV102" s="170" t="n">
        <f aca="false">AS102*1000000000</f>
        <v>755.701814058957</v>
      </c>
      <c r="AW102" s="171" t="n">
        <f aca="false">1000000000*AT102</f>
        <v>48</v>
      </c>
      <c r="AX102" s="19" t="s">
        <v>273</v>
      </c>
    </row>
    <row r="103" customFormat="false" ht="15" hidden="false" customHeight="tru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Q103" s="40" t="n">
        <v>0.288</v>
      </c>
      <c r="AR103" s="40"/>
      <c r="AS103" s="99" t="n">
        <f aca="false">AVERAGE(AF31:AF34)</f>
        <v>7.2175E-007</v>
      </c>
      <c r="AT103" s="70" t="n">
        <f aca="false">MAX(AG31:AG34)</f>
        <v>3.25E-008</v>
      </c>
      <c r="AU103" s="70"/>
      <c r="AV103" s="170" t="n">
        <f aca="false">AS103*1000000000</f>
        <v>721.75</v>
      </c>
      <c r="AW103" s="171" t="n">
        <f aca="false">1000000000*AT103</f>
        <v>32.5</v>
      </c>
      <c r="AX103" s="19" t="s">
        <v>273</v>
      </c>
    </row>
    <row r="104" customFormat="false" ht="15" hidden="false" customHeight="tru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Q104" s="40" t="n">
        <v>0.313</v>
      </c>
      <c r="AR104" s="40"/>
      <c r="AS104" s="99" t="n">
        <f aca="false">AVERAGE(AF20:AF30)</f>
        <v>7.46985973778544E-007</v>
      </c>
      <c r="AT104" s="70" t="n">
        <f aca="false">MAX(AG20:AG30)</f>
        <v>5.375E-008</v>
      </c>
      <c r="AU104" s="70"/>
      <c r="AV104" s="170" t="n">
        <f aca="false">AS104*1000000000</f>
        <v>746.985973778544</v>
      </c>
      <c r="AW104" s="171" t="n">
        <f aca="false">1000000000*AT104</f>
        <v>53.75</v>
      </c>
      <c r="AX104" s="19" t="s">
        <v>274</v>
      </c>
    </row>
    <row r="105" customFormat="false" ht="15" hidden="false" customHeight="tru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Q105" s="40" t="n">
        <v>0.5</v>
      </c>
      <c r="AR105" s="40"/>
      <c r="AS105" s="99" t="e">
        <f aca="false">AVERAGE(#REF!)</f>
        <v>#REF!</v>
      </c>
      <c r="AT105" s="70" t="e">
        <f aca="false">MAX(#REF!)</f>
        <v>#VALUE!</v>
      </c>
      <c r="AU105" s="70"/>
      <c r="AV105" s="170" t="inlineStr">
        <f aca="false">AS105*1000000000</f>
        <is>
          <t/>
        </is>
      </c>
      <c r="AW105" s="171" t="inlineStr">
        <f aca="false">1000000000*AT105</f>
        <is>
          <t/>
        </is>
      </c>
      <c r="AX105" s="19" t="s">
        <v>273</v>
      </c>
    </row>
    <row r="106" customFormat="false" ht="15" hidden="false" customHeight="tru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Q106" s="114" t="n">
        <v>0.85</v>
      </c>
      <c r="AR106" s="114"/>
      <c r="AS106" s="117" t="n">
        <f aca="false">AVERAGE(AF16:AF19)</f>
        <v>7.68E-007</v>
      </c>
      <c r="AT106" s="124" t="n">
        <f aca="false">MAX(AG16:AG17)</f>
        <v>4.8E-008</v>
      </c>
      <c r="AU106" s="124"/>
      <c r="AV106" s="172" t="n">
        <f aca="false">AS106*1000000000</f>
        <v>768</v>
      </c>
      <c r="AW106" s="173" t="n">
        <f aca="false">1000000000*AT106</f>
        <v>48</v>
      </c>
      <c r="AX106" s="19" t="s">
        <v>273</v>
      </c>
    </row>
    <row r="107" customFormat="false" ht="15" hidden="false" customHeight="tru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Q107" s="40"/>
      <c r="AR107" s="40"/>
      <c r="AS107" s="40"/>
      <c r="AT107" s="0"/>
      <c r="AU107" s="0"/>
      <c r="AV107" s="41"/>
    </row>
    <row r="108" customFormat="false" ht="15" hidden="false" customHeight="tru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Q108" s="40"/>
      <c r="AR108" s="40"/>
      <c r="AS108" s="40"/>
      <c r="AT108" s="0"/>
      <c r="AU108" s="0"/>
      <c r="AV108" s="41"/>
    </row>
    <row r="109" customFormat="false" ht="15" hidden="false" customHeight="tru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Q109" s="40" t="s">
        <v>275</v>
      </c>
      <c r="AR109" s="40"/>
      <c r="AS109" s="40" t="s">
        <v>276</v>
      </c>
      <c r="AT109" s="19" t="s">
        <v>277</v>
      </c>
      <c r="AU109" s="0"/>
      <c r="AV109" s="41"/>
    </row>
    <row r="110" customFormat="false" ht="15" hidden="false" customHeight="tru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Q110" s="40" t="n">
        <v>0.2</v>
      </c>
      <c r="AR110" s="40"/>
      <c r="AS110" s="99" t="n">
        <f aca="false">AVERAGE(Z2:Z12)</f>
        <v>7.2E-007</v>
      </c>
      <c r="AT110" s="70" t="n">
        <f aca="false">AVERAGE(AA2:AA12)</f>
        <v>8E-008</v>
      </c>
      <c r="AU110" s="70"/>
      <c r="AV110" s="41"/>
    </row>
    <row r="111" customFormat="false" ht="15" hidden="false" customHeight="tru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Q111" s="40" t="n">
        <v>0.85</v>
      </c>
      <c r="AR111" s="40"/>
      <c r="AS111" s="99" t="n">
        <f aca="false">AVERAGE(Z16:Z19)</f>
        <v>7.65E-007</v>
      </c>
      <c r="AT111" s="70" t="n">
        <f aca="false">AVERAGE(AA16:AA19)</f>
        <v>5.5E-008</v>
      </c>
      <c r="AU111" s="70"/>
      <c r="AV111" s="41"/>
    </row>
    <row r="112" customFormat="false" ht="14.4" hidden="false" customHeight="false" outlineLevel="0" collapsed="false">
      <c r="A112" s="19" t="s">
        <v>52</v>
      </c>
      <c r="B112" s="70" t="n">
        <v>0</v>
      </c>
      <c r="C112" s="19" t="n">
        <v>0</v>
      </c>
      <c r="D112" s="19" t="n">
        <v>0</v>
      </c>
      <c r="E112" s="19" t="n">
        <v>0</v>
      </c>
      <c r="F112" s="0"/>
      <c r="G112" s="100" t="n">
        <v>0</v>
      </c>
      <c r="H112" s="100"/>
      <c r="I112" s="19" t="n">
        <v>10</v>
      </c>
      <c r="J112" s="70" t="n">
        <f aca="false">1000000000*K112</f>
        <v>800</v>
      </c>
      <c r="K112" s="99" t="n">
        <v>8E-007</v>
      </c>
      <c r="L112" s="53" t="n">
        <v>1E-013</v>
      </c>
      <c r="M112" s="53" t="n">
        <f aca="false">L112*1000000000000</f>
        <v>0.1</v>
      </c>
      <c r="N112" s="19" t="s">
        <v>247</v>
      </c>
      <c r="O112" s="19" t="s">
        <v>242</v>
      </c>
      <c r="P112" s="70" t="n">
        <f aca="false">Q112*0.000001</f>
        <v>1E-005</v>
      </c>
      <c r="Q112" s="19" t="n">
        <v>10</v>
      </c>
      <c r="R112" s="19" t="n">
        <v>0</v>
      </c>
      <c r="S112" s="19" t="s">
        <v>243</v>
      </c>
      <c r="T112" s="99" t="e">
        <f aca="false">A112/L112</f>
        <v>#VALUE!</v>
      </c>
      <c r="U112" s="99" t="e">
        <f aca="false">I112*T112</f>
        <v>#VALUE!</v>
      </c>
      <c r="V112" s="102" t="e">
        <f aca="false">I112*A112</f>
        <v>#VALUE!</v>
      </c>
      <c r="W112" s="99" t="n">
        <f aca="false">AF112/K112</f>
        <v>0</v>
      </c>
      <c r="X112" s="0"/>
      <c r="Y112" s="0"/>
      <c r="Z112" s="0"/>
      <c r="AA112" s="0"/>
      <c r="AB112" s="0"/>
    </row>
    <row r="113" customFormat="false" ht="14.4" hidden="false" customHeight="false" outlineLevel="0" collapsed="false">
      <c r="A113" s="19" t="s">
        <v>52</v>
      </c>
      <c r="B113" s="70" t="n">
        <f aca="false">C113/J113</f>
        <v>0.8625</v>
      </c>
      <c r="C113" s="19" t="n">
        <f aca="false">1000000000*D113</f>
        <v>690</v>
      </c>
      <c r="D113" s="70" t="n">
        <f aca="false">Z113</f>
        <v>6.9E-007</v>
      </c>
      <c r="E113" s="70" t="n">
        <f aca="false">AA113</f>
        <v>3E-008</v>
      </c>
      <c r="F113" s="70"/>
      <c r="G113" s="100" t="n">
        <f aca="false">E113/D113</f>
        <v>0.0434782608695652</v>
      </c>
      <c r="H113" s="100"/>
      <c r="I113" s="19" t="n">
        <v>10</v>
      </c>
      <c r="J113" s="70" t="n">
        <f aca="false">1000000000*K113</f>
        <v>800</v>
      </c>
      <c r="K113" s="99" t="n">
        <v>8E-007</v>
      </c>
      <c r="L113" s="53" t="n">
        <v>1E-013</v>
      </c>
      <c r="M113" s="53" t="n">
        <f aca="false">L113*1000000000000</f>
        <v>0.1</v>
      </c>
      <c r="N113" s="19" t="s">
        <v>247</v>
      </c>
      <c r="O113" s="19" t="s">
        <v>242</v>
      </c>
      <c r="P113" s="70" t="n">
        <f aca="false">Q113*0.000001</f>
        <v>1.31E-005</v>
      </c>
      <c r="Q113" s="19" t="n">
        <v>13.1</v>
      </c>
      <c r="W113" s="99" t="n">
        <f aca="false">AF113/K113</f>
        <v>0</v>
      </c>
      <c r="X113" s="44" t="n">
        <v>6.6E-007</v>
      </c>
      <c r="Y113" s="45" t="n">
        <v>7.2E-007</v>
      </c>
      <c r="Z113" s="124" t="n">
        <f aca="false">(X113+Y113)/2</f>
        <v>6.9E-007</v>
      </c>
      <c r="AA113" s="124" t="n">
        <f aca="false">(Y113-X113)/2</f>
        <v>3E-008</v>
      </c>
      <c r="AB113" s="152" t="n">
        <f aca="false">AA113/Z113</f>
        <v>0.0434782608695652</v>
      </c>
    </row>
    <row r="114" customFormat="false" ht="14.4" hidden="false" customHeight="false" outlineLevel="0" collapsed="false">
      <c r="A114" s="19" t="s">
        <v>52</v>
      </c>
      <c r="B114" s="70" t="n">
        <f aca="false">C114/J114</f>
        <v>0.83125</v>
      </c>
      <c r="C114" s="19" t="n">
        <f aca="false">1000000000*D114</f>
        <v>665</v>
      </c>
      <c r="D114" s="70" t="n">
        <f aca="false">Z114</f>
        <v>6.65E-007</v>
      </c>
      <c r="E114" s="70" t="n">
        <f aca="false">AA114</f>
        <v>3.5E-008</v>
      </c>
      <c r="F114" s="70"/>
      <c r="G114" s="100" t="n">
        <f aca="false">E114/D114</f>
        <v>0.0526315789473684</v>
      </c>
      <c r="H114" s="100"/>
      <c r="I114" s="19" t="n">
        <v>10</v>
      </c>
      <c r="J114" s="70" t="n">
        <f aca="false">1000000000*K114</f>
        <v>800</v>
      </c>
      <c r="K114" s="99" t="n">
        <v>8E-007</v>
      </c>
      <c r="L114" s="53" t="n">
        <v>1E-013</v>
      </c>
      <c r="M114" s="53" t="n">
        <f aca="false">L114*1000000000000</f>
        <v>0.1</v>
      </c>
      <c r="N114" s="19" t="s">
        <v>247</v>
      </c>
      <c r="O114" s="19" t="s">
        <v>242</v>
      </c>
      <c r="P114" s="70" t="n">
        <f aca="false">Q114*0.000001</f>
        <v>1.54E-005</v>
      </c>
      <c r="Q114" s="19" t="n">
        <v>15.4</v>
      </c>
      <c r="X114" s="44" t="n">
        <v>6.3E-007</v>
      </c>
      <c r="Y114" s="45" t="n">
        <v>7E-007</v>
      </c>
      <c r="Z114" s="124" t="n">
        <f aca="false">(X114+Y114)/2</f>
        <v>6.65E-007</v>
      </c>
      <c r="AA114" s="124" t="n">
        <f aca="false">(Y114-X114)/2</f>
        <v>3.5E-008</v>
      </c>
      <c r="AB114" s="152" t="n">
        <f aca="false">AA114/Z114</f>
        <v>0.0526315789473684</v>
      </c>
    </row>
    <row r="115" customFormat="false" ht="14.4" hidden="false" customHeight="false" outlineLevel="0" collapsed="false">
      <c r="A115" s="19" t="s">
        <v>52</v>
      </c>
      <c r="B115" s="70" t="n">
        <f aca="false">C115/J115</f>
        <v>0.85</v>
      </c>
      <c r="C115" s="19" t="n">
        <f aca="false">1000000000*D115</f>
        <v>680</v>
      </c>
      <c r="D115" s="70" t="n">
        <f aca="false">Z115</f>
        <v>6.8E-007</v>
      </c>
      <c r="E115" s="70" t="n">
        <f aca="false">AA115</f>
        <v>2E-008</v>
      </c>
      <c r="F115" s="70"/>
      <c r="G115" s="100" t="n">
        <f aca="false">E115/D115</f>
        <v>0.0294117647058823</v>
      </c>
      <c r="H115" s="100"/>
      <c r="I115" s="19" t="n">
        <v>10</v>
      </c>
      <c r="J115" s="70" t="n">
        <f aca="false">1000000000*K115</f>
        <v>800</v>
      </c>
      <c r="K115" s="99" t="n">
        <v>8E-007</v>
      </c>
      <c r="L115" s="53" t="n">
        <v>1E-013</v>
      </c>
      <c r="M115" s="53" t="n">
        <f aca="false">L115*1000000000000</f>
        <v>0.1</v>
      </c>
      <c r="N115" s="19" t="s">
        <v>247</v>
      </c>
      <c r="O115" s="19" t="s">
        <v>242</v>
      </c>
      <c r="P115" s="70" t="n">
        <f aca="false">Q115*0.000001</f>
        <v>2E-005</v>
      </c>
      <c r="Q115" s="19" t="n">
        <v>20</v>
      </c>
      <c r="X115" s="44" t="n">
        <v>6.6E-007</v>
      </c>
      <c r="Y115" s="45" t="n">
        <v>7E-007</v>
      </c>
      <c r="Z115" s="124" t="n">
        <f aca="false">(X115+Y115)/2</f>
        <v>6.8E-007</v>
      </c>
      <c r="AA115" s="124" t="n">
        <f aca="false">(Y115-X115)/2</f>
        <v>2E-008</v>
      </c>
      <c r="AB115" s="152" t="n">
        <f aca="false">AA115/Z115</f>
        <v>0.0294117647058823</v>
      </c>
    </row>
  </sheetData>
  <autoFilter ref="A1:AJ89">
    <filterColumn colId="1">
      <customFilters and="true">
        <customFilter operator="**none**" val=""/>
      </customFilters>
    </filterColumn>
  </autoFilter>
  <conditionalFormatting sqref="AH116:AH1048576,AH1:AH111">
    <cfRule type="cellIs" priority="2" operator="lessThan" aboveAverage="0" equalAverage="0" bottom="0" percent="0" rank="0" text="" dxfId="0">
      <formula>0</formula>
    </cfRule>
  </conditionalFormatting>
  <conditionalFormatting sqref="C2:C82">
    <cfRule type="cellIs" priority="3" operator="lessThan" aboveAverage="0" equalAverage="0" bottom="0" percent="0" rank="0" text="" dxfId="1">
      <formula>600</formula>
    </cfRule>
  </conditionalFormatting>
  <conditionalFormatting sqref="C112:C115">
    <cfRule type="cellIs" priority="4" operator="lessThan" aboveAverage="0" equalAverage="0" bottom="0" percent="0" rank="0" text="" dxfId="2">
      <formula>600</formula>
    </cfRule>
  </conditionalFormatting>
  <conditionalFormatting sqref="C83">
    <cfRule type="cellIs" priority="5" operator="lessThan" aboveAverage="0" equalAverage="0" bottom="0" percent="0" rank="0" text="" dxfId="3">
      <formula>600</formula>
    </cfRule>
  </conditionalFormatting>
  <conditionalFormatting sqref="C84">
    <cfRule type="cellIs" priority="6" operator="lessThan" aboveAverage="0" equalAverage="0" bottom="0" percent="0" rank="0" text="" dxfId="4">
      <formula>600</formula>
    </cfRule>
  </conditionalFormatting>
  <conditionalFormatting sqref="C85">
    <cfRule type="cellIs" priority="7" operator="lessThan" aboveAverage="0" equalAverage="0" bottom="0" percent="0" rank="0" text="" dxfId="5">
      <formula>600</formula>
    </cfRule>
  </conditionalFormatting>
  <conditionalFormatting sqref="C86">
    <cfRule type="cellIs" priority="8" operator="lessThan" aboveAverage="0" equalAverage="0" bottom="0" percent="0" rank="0" text="" dxfId="6">
      <formula>600</formula>
    </cfRule>
  </conditionalFormatting>
  <conditionalFormatting sqref="C87">
    <cfRule type="cellIs" priority="9" operator="lessThan" aboveAverage="0" equalAverage="0" bottom="0" percent="0" rank="0" text="" dxfId="7">
      <formula>600</formula>
    </cfRule>
  </conditionalFormatting>
  <conditionalFormatting sqref="C88">
    <cfRule type="cellIs" priority="10" operator="lessThan" aboveAverage="0" equalAverage="0" bottom="0" percent="0" rank="0" text="" dxfId="8">
      <formula>600</formula>
    </cfRule>
  </conditionalFormatting>
  <conditionalFormatting sqref="C89">
    <cfRule type="cellIs" priority="11" operator="lessThan" aboveAverage="0" equalAverage="0" bottom="0" percent="0" rank="0" text="" dxfId="9">
      <formula>600</formula>
    </cfRule>
  </conditionalFormatting>
  <conditionalFormatting sqref="G:G">
    <cfRule type="cellIs" priority="12" operator="equal" aboveAverage="0" equalAverage="0" bottom="0" percent="0" rank="0" text="" dxfId="10">
      <formula>0</formula>
    </cfRule>
  </conditionalFormatting>
  <hyperlinks>
    <hyperlink ref="AI5" r:id="rId1" display="\\MEB-JEOL\Rémi\"/>
    <hyperlink ref="AI7" r:id="rId2" display="\\MEB-JEOL\Rémi\"/>
    <hyperlink ref="AI9" r:id="rId3" display="\\MEB-JEOL\Rémi\"/>
    <hyperlink ref="AI12" r:id="rId4" display="\\MEB-JEOL\Rémi\"/>
    <hyperlink ref="AI14" r:id="rId5" display="\\MEB-JEOL\Rémi\"/>
    <hyperlink ref="AI22" r:id="rId6" display="\\MEB-JEOL\Rémi\"/>
    <hyperlink ref="AI25" r:id="rId7" display="\\MEB-JEOL\Rémi\"/>
    <hyperlink ref="AI27" r:id="rId8" display="\\MEB-JEOL\Rémi\"/>
    <hyperlink ref="AI35" r:id="rId9" display="\\MEB-JEOL\Rémi\"/>
    <hyperlink ref="AI37" r:id="rId10" display="\\MEB-JEOL\Rémi\"/>
    <hyperlink ref="AI38" r:id="rId11" display="Single shot 3"/>
    <hyperlink ref="AI39" r:id="rId12" display="\\MEB-JEOL\Rémi\"/>
    <hyperlink ref="AI40" r:id="rId13" display="\\MEB-JEOL\Rémi\Pockels 1"/>
    <hyperlink ref="AI41" r:id="rId14" display="\\MEB-JEOL\Rémi\Pockels 2"/>
    <hyperlink ref="AI42" r:id="rId15" display="\\MEB-JEOL\Rémi\"/>
    <hyperlink ref="AI43" r:id="rId16" display="\\MEB-JEOL\Rémi\Pockels 3\F850"/>
    <hyperlink ref="AI44" r:id="rId17" display="\\MEB-JEOL\Rémi\"/>
    <hyperlink ref="AI45" r:id="rId18" display="\\MEB-JEOL\Rémi\Pockels 2"/>
    <hyperlink ref="AI47" r:id="rId19" display="\\MEB-JEOL\Rémi\Pockels 1"/>
    <hyperlink ref="AI54" r:id="rId20" display="\\MEB-JEOL\Rémi\"/>
    <hyperlink ref="AI58" r:id="rId21" display="Test taille spot plasmon Chloé"/>
    <hyperlink ref="AI59" r:id="rId22" display="Test taille spot plasmon Chloé"/>
    <hyperlink ref="AI65" r:id="rId23" display="\\MEB-JEOL\Rémi\"/>
    <hyperlink ref="AI66" r:id="rId24" display="\\MEB-JEOL\Rémi\"/>
    <hyperlink ref="AI69" r:id="rId25" display="\\MEB-JEOL\Rémi\Pockels 2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26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5" zoomScaleNormal="13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5" zoomScaleNormal="13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060728744939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75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2010-05-31T12:12:42Z</dcterms:created>
  <dc:creator>Thibault</dc:creator>
  <dc:language>en-US</dc:language>
  <cp:lastModifiedBy>Eriduan Robo</cp:lastModifiedBy>
  <dcterms:modified xsi:type="dcterms:W3CDTF">2015-07-15T14:48:55Z</dcterms:modified>
  <cp:revision>0</cp:revision>
</cp:coreProperties>
</file>