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6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drawings/drawing10.xml" ContentType="application/vnd.openxmlformats-officedocument.drawingml.chartshape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" windowWidth="15180" windowHeight="7560" tabRatio="813" firstSheet="1" activeTab="3"/>
  </bookViews>
  <sheets>
    <sheet name="Incertitudes" sheetId="10" r:id="rId1"/>
    <sheet name="RipplesSpacing-Litteratur" sheetId="4" r:id="rId2"/>
    <sheet name="RipplesSpacing-LP3" sheetId="1" r:id="rId3"/>
    <sheet name="LambdaVSwavelength" sheetId="11" r:id="rId4"/>
    <sheet name="PeriodVSN" sheetId="9" r:id="rId5"/>
    <sheet name="PeriodNormWithFluence" sheetId="6" r:id="rId6"/>
    <sheet name="PeriodWithTau" sheetId="13" r:id="rId7"/>
    <sheet name="SpotSizeEffect" sheetId="8" r:id="rId8"/>
    <sheet name="Mixed-N x I vs Lambda" sheetId="5" r:id="rId9"/>
  </sheets>
  <definedNames>
    <definedName name="_xlnm._FilterDatabase" localSheetId="1" hidden="1">'RipplesSpacing-Litteratur'!$A$1:$AO$66</definedName>
    <definedName name="_xlnm._FilterDatabase" localSheetId="2" hidden="1">'RipplesSpacing-LP3'!$A$1:$AJ$89</definedName>
    <definedName name="_xlnm.Criteria" localSheetId="2">'RipplesSpacing-LP3'!$M:$M</definedName>
  </definedNames>
  <calcPr calcId="125725"/>
</workbook>
</file>

<file path=xl/calcChain.xml><?xml version="1.0" encoding="utf-8"?>
<calcChain xmlns="http://schemas.openxmlformats.org/spreadsheetml/2006/main">
  <c r="F82" i="1"/>
  <c r="F81"/>
  <c r="F78"/>
  <c r="F77"/>
  <c r="F75"/>
  <c r="F74"/>
  <c r="F73"/>
  <c r="F72"/>
  <c r="F71"/>
  <c r="F70"/>
  <c r="F68"/>
  <c r="F67"/>
  <c r="F66"/>
  <c r="F65"/>
  <c r="F64"/>
  <c r="F63"/>
  <c r="F62"/>
  <c r="F61"/>
  <c r="F60"/>
  <c r="F59"/>
  <c r="F58"/>
  <c r="F56"/>
  <c r="F55"/>
  <c r="F54"/>
  <c r="F53"/>
  <c r="F52"/>
  <c r="F51"/>
  <c r="F50"/>
  <c r="F49"/>
  <c r="F48"/>
  <c r="F47"/>
  <c r="F46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9"/>
  <c r="F8"/>
  <c r="F7"/>
  <c r="F3"/>
  <c r="F2"/>
  <c r="O63" i="4"/>
  <c r="O62"/>
  <c r="O61"/>
  <c r="O43"/>
  <c r="O42"/>
  <c r="O39"/>
  <c r="O36"/>
  <c r="O34"/>
  <c r="O33"/>
  <c r="O32"/>
  <c r="O31"/>
  <c r="O30"/>
  <c r="O29"/>
  <c r="O28"/>
  <c r="O27"/>
  <c r="O25"/>
  <c r="O24"/>
  <c r="O23"/>
  <c r="O20"/>
  <c r="O19"/>
  <c r="O18"/>
  <c r="O17"/>
  <c r="O12"/>
  <c r="O11"/>
  <c r="O10"/>
  <c r="O9"/>
  <c r="O8"/>
  <c r="O7"/>
  <c r="O6"/>
  <c r="O16"/>
  <c r="O15"/>
  <c r="O13"/>
  <c r="C63"/>
  <c r="P63" s="1"/>
  <c r="C62"/>
  <c r="E62"/>
  <c r="D62"/>
  <c r="E63"/>
  <c r="D63"/>
  <c r="Q64"/>
  <c r="Q60"/>
  <c r="Q59"/>
  <c r="Q58"/>
  <c r="Q57"/>
  <c r="Q56"/>
  <c r="Q55"/>
  <c r="Q54"/>
  <c r="Q53"/>
  <c r="Q52"/>
  <c r="Q51"/>
  <c r="Q50"/>
  <c r="Q49"/>
  <c r="Q48"/>
  <c r="Q47"/>
  <c r="Q45"/>
  <c r="Q44"/>
  <c r="Q16"/>
  <c r="Q15"/>
  <c r="Q13"/>
  <c r="Q14"/>
  <c r="Z89" i="1"/>
  <c r="W89" s="1"/>
  <c r="AA89"/>
  <c r="E89" s="1"/>
  <c r="T89"/>
  <c r="U89" s="1"/>
  <c r="M89"/>
  <c r="J89"/>
  <c r="V89"/>
  <c r="M88"/>
  <c r="J88"/>
  <c r="V88"/>
  <c r="T88"/>
  <c r="U88" s="1"/>
  <c r="Z88"/>
  <c r="D88" s="1"/>
  <c r="C88" s="1"/>
  <c r="AA88"/>
  <c r="E88" s="1"/>
  <c r="M87"/>
  <c r="J87"/>
  <c r="V87"/>
  <c r="T87"/>
  <c r="U87" s="1"/>
  <c r="Z87"/>
  <c r="D87" s="1"/>
  <c r="C87" s="1"/>
  <c r="AA87"/>
  <c r="E87" s="1"/>
  <c r="M86"/>
  <c r="J86"/>
  <c r="V86"/>
  <c r="T86"/>
  <c r="U86" s="1"/>
  <c r="AA86"/>
  <c r="E86" s="1"/>
  <c r="Z86"/>
  <c r="D86" s="1"/>
  <c r="C86" s="1"/>
  <c r="T85"/>
  <c r="U85" s="1"/>
  <c r="M85"/>
  <c r="J85"/>
  <c r="V85"/>
  <c r="AA85"/>
  <c r="E85" s="1"/>
  <c r="Z85"/>
  <c r="V84"/>
  <c r="T84"/>
  <c r="U84" s="1"/>
  <c r="M84"/>
  <c r="J84"/>
  <c r="AA84"/>
  <c r="E84" s="1"/>
  <c r="Z84"/>
  <c r="M83"/>
  <c r="T83"/>
  <c r="U83" s="1"/>
  <c r="J83"/>
  <c r="V83"/>
  <c r="AA83"/>
  <c r="Z83"/>
  <c r="W83" s="1"/>
  <c r="AA115"/>
  <c r="E115" s="1"/>
  <c r="Z115"/>
  <c r="D115" s="1"/>
  <c r="C115" s="1"/>
  <c r="P115"/>
  <c r="P114"/>
  <c r="AA114"/>
  <c r="E114" s="1"/>
  <c r="Z114"/>
  <c r="AA113"/>
  <c r="E113" s="1"/>
  <c r="Z113"/>
  <c r="W113"/>
  <c r="M115"/>
  <c r="M114"/>
  <c r="J115"/>
  <c r="J114"/>
  <c r="J113"/>
  <c r="M113"/>
  <c r="P112"/>
  <c r="P113"/>
  <c r="W112"/>
  <c r="V112"/>
  <c r="T112"/>
  <c r="U112" s="1"/>
  <c r="M112"/>
  <c r="J112"/>
  <c r="G82"/>
  <c r="H82" s="1"/>
  <c r="G81"/>
  <c r="H81" s="1"/>
  <c r="G79"/>
  <c r="G78"/>
  <c r="H78" s="1"/>
  <c r="G77"/>
  <c r="H77" s="1"/>
  <c r="G76"/>
  <c r="G75"/>
  <c r="H75" s="1"/>
  <c r="G74"/>
  <c r="H74" s="1"/>
  <c r="G73"/>
  <c r="H73" s="1"/>
  <c r="G72"/>
  <c r="H72" s="1"/>
  <c r="G70"/>
  <c r="H70" s="1"/>
  <c r="G68"/>
  <c r="H68" s="1"/>
  <c r="G67"/>
  <c r="H67" s="1"/>
  <c r="G66"/>
  <c r="H66" s="1"/>
  <c r="G65"/>
  <c r="H65" s="1"/>
  <c r="G64"/>
  <c r="H64" s="1"/>
  <c r="G63"/>
  <c r="H63" s="1"/>
  <c r="G62"/>
  <c r="H62" s="1"/>
  <c r="G61"/>
  <c r="H61" s="1"/>
  <c r="G60"/>
  <c r="H60" s="1"/>
  <c r="G59"/>
  <c r="H59" s="1"/>
  <c r="G58"/>
  <c r="H58" s="1"/>
  <c r="G56"/>
  <c r="H56" s="1"/>
  <c r="G55"/>
  <c r="H55" s="1"/>
  <c r="G54"/>
  <c r="H54" s="1"/>
  <c r="G53"/>
  <c r="H53" s="1"/>
  <c r="G52"/>
  <c r="H52" s="1"/>
  <c r="G51"/>
  <c r="H51" s="1"/>
  <c r="G50"/>
  <c r="H50" s="1"/>
  <c r="G49"/>
  <c r="H49" s="1"/>
  <c r="G48"/>
  <c r="H48" s="1"/>
  <c r="G47"/>
  <c r="H47" s="1"/>
  <c r="G46"/>
  <c r="H46" s="1"/>
  <c r="G44"/>
  <c r="H44" s="1"/>
  <c r="G43"/>
  <c r="H43" s="1"/>
  <c r="G42"/>
  <c r="H42" s="1"/>
  <c r="G41"/>
  <c r="H41" s="1"/>
  <c r="G40"/>
  <c r="H40" s="1"/>
  <c r="G39"/>
  <c r="H39" s="1"/>
  <c r="G38"/>
  <c r="H38" s="1"/>
  <c r="G37"/>
  <c r="H37" s="1"/>
  <c r="G36"/>
  <c r="H36" s="1"/>
  <c r="G35"/>
  <c r="H35" s="1"/>
  <c r="G34"/>
  <c r="H34" s="1"/>
  <c r="G33"/>
  <c r="H33" s="1"/>
  <c r="G32"/>
  <c r="H32" s="1"/>
  <c r="G31"/>
  <c r="H31" s="1"/>
  <c r="G30"/>
  <c r="H30" s="1"/>
  <c r="G29"/>
  <c r="H29" s="1"/>
  <c r="G28"/>
  <c r="H28" s="1"/>
  <c r="G27"/>
  <c r="H27" s="1"/>
  <c r="G26"/>
  <c r="H26" s="1"/>
  <c r="G25"/>
  <c r="H25" s="1"/>
  <c r="G24"/>
  <c r="H24" s="1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9"/>
  <c r="H9" s="1"/>
  <c r="G8"/>
  <c r="H8" s="1"/>
  <c r="G7"/>
  <c r="H7" s="1"/>
  <c r="G6"/>
  <c r="G5"/>
  <c r="G4"/>
  <c r="G3"/>
  <c r="H3" s="1"/>
  <c r="G57"/>
  <c r="H57" s="1"/>
  <c r="G45"/>
  <c r="H45" s="1"/>
  <c r="G2"/>
  <c r="H2" s="1"/>
  <c r="F33" i="10"/>
  <c r="M33" s="1"/>
  <c r="E33"/>
  <c r="J33" s="1"/>
  <c r="F32"/>
  <c r="E32"/>
  <c r="J32" s="1"/>
  <c r="F19"/>
  <c r="F18"/>
  <c r="F17"/>
  <c r="F16"/>
  <c r="F15"/>
  <c r="G15" s="1"/>
  <c r="G16"/>
  <c r="G17"/>
  <c r="G18"/>
  <c r="G19"/>
  <c r="F28"/>
  <c r="N28" s="1"/>
  <c r="E28"/>
  <c r="J28" s="1"/>
  <c r="F24"/>
  <c r="E24"/>
  <c r="J24" s="1"/>
  <c r="A63" i="4"/>
  <c r="C66"/>
  <c r="B66" s="1"/>
  <c r="K66"/>
  <c r="M66" s="1"/>
  <c r="A61"/>
  <c r="C61"/>
  <c r="B61" s="1"/>
  <c r="C32"/>
  <c r="P32" s="1"/>
  <c r="Q32" s="1"/>
  <c r="AA10" i="1"/>
  <c r="E10" s="1"/>
  <c r="F10" s="1"/>
  <c r="Z10"/>
  <c r="AA71"/>
  <c r="Z71"/>
  <c r="AA69"/>
  <c r="Z69"/>
  <c r="D69" s="1"/>
  <c r="N65" i="4"/>
  <c r="K65"/>
  <c r="M65" s="1"/>
  <c r="C65"/>
  <c r="P65" s="1"/>
  <c r="Q65" s="1"/>
  <c r="AP82" i="1"/>
  <c r="AP81"/>
  <c r="AP79"/>
  <c r="AP78"/>
  <c r="AP77"/>
  <c r="AP76"/>
  <c r="AP75"/>
  <c r="AP74"/>
  <c r="AP73"/>
  <c r="AP72"/>
  <c r="AP70"/>
  <c r="AP68"/>
  <c r="AP67"/>
  <c r="AP66"/>
  <c r="AP65"/>
  <c r="AP64"/>
  <c r="AP63"/>
  <c r="AP62"/>
  <c r="AP61"/>
  <c r="AP60"/>
  <c r="AP59"/>
  <c r="AP58"/>
  <c r="AP56"/>
  <c r="AP55"/>
  <c r="AP54"/>
  <c r="AP53"/>
  <c r="AP52"/>
  <c r="AP51"/>
  <c r="AP50"/>
  <c r="AP49"/>
  <c r="AP48"/>
  <c r="AP47"/>
  <c r="AP46"/>
  <c r="AP44"/>
  <c r="AP43"/>
  <c r="AP42"/>
  <c r="AP41"/>
  <c r="AP40"/>
  <c r="AP39"/>
  <c r="AP38"/>
  <c r="AP37"/>
  <c r="AP36"/>
  <c r="AP35"/>
  <c r="AP34"/>
  <c r="AP33"/>
  <c r="AP32"/>
  <c r="AP31"/>
  <c r="AP30"/>
  <c r="AP29"/>
  <c r="AP28"/>
  <c r="AP27"/>
  <c r="AP26"/>
  <c r="AP25"/>
  <c r="AP24"/>
  <c r="AP23"/>
  <c r="AP22"/>
  <c r="AP21"/>
  <c r="AP20"/>
  <c r="AP19"/>
  <c r="AP18"/>
  <c r="AP17"/>
  <c r="AP16"/>
  <c r="AP15"/>
  <c r="AP14"/>
  <c r="AP13"/>
  <c r="AP12"/>
  <c r="AP11"/>
  <c r="AP9"/>
  <c r="AP8"/>
  <c r="AP7"/>
  <c r="AP6"/>
  <c r="AP5"/>
  <c r="AP4"/>
  <c r="AP3"/>
  <c r="AP2"/>
  <c r="M63" i="4"/>
  <c r="M61"/>
  <c r="M62"/>
  <c r="B62"/>
  <c r="C60"/>
  <c r="B60" s="1"/>
  <c r="C58"/>
  <c r="B58" s="1"/>
  <c r="C57"/>
  <c r="B57" s="1"/>
  <c r="C56"/>
  <c r="B56" s="1"/>
  <c r="C55"/>
  <c r="B55" s="1"/>
  <c r="C54"/>
  <c r="B54" s="1"/>
  <c r="C53"/>
  <c r="B53" s="1"/>
  <c r="C52"/>
  <c r="B52" s="1"/>
  <c r="C59"/>
  <c r="B59" s="1"/>
  <c r="C51"/>
  <c r="B51" s="1"/>
  <c r="C50"/>
  <c r="B50" s="1"/>
  <c r="C49"/>
  <c r="B49" s="1"/>
  <c r="B16"/>
  <c r="K16"/>
  <c r="N16"/>
  <c r="N15"/>
  <c r="N13"/>
  <c r="M16"/>
  <c r="B15"/>
  <c r="K15"/>
  <c r="M15" s="1"/>
  <c r="B13"/>
  <c r="K13"/>
  <c r="M13" s="1"/>
  <c r="J82" i="1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J2"/>
  <c r="K19" i="10"/>
  <c r="K18"/>
  <c r="K17"/>
  <c r="K16"/>
  <c r="K15"/>
  <c r="O16"/>
  <c r="O15"/>
  <c r="O17" s="1"/>
  <c r="E16"/>
  <c r="E17"/>
  <c r="E18"/>
  <c r="E19"/>
  <c r="E15"/>
  <c r="I5"/>
  <c r="H5"/>
  <c r="E7"/>
  <c r="E6"/>
  <c r="E5"/>
  <c r="N43" i="4"/>
  <c r="C43"/>
  <c r="B43" s="1"/>
  <c r="K43"/>
  <c r="M43" s="1"/>
  <c r="C82" i="1"/>
  <c r="C81"/>
  <c r="AF82"/>
  <c r="AG82"/>
  <c r="W82"/>
  <c r="V82"/>
  <c r="T82"/>
  <c r="U82" s="1"/>
  <c r="Q82"/>
  <c r="M82"/>
  <c r="AF81"/>
  <c r="AG81"/>
  <c r="W81"/>
  <c r="V81"/>
  <c r="T81"/>
  <c r="U81" s="1"/>
  <c r="Q81"/>
  <c r="M81"/>
  <c r="C18"/>
  <c r="C17"/>
  <c r="C16"/>
  <c r="C15"/>
  <c r="C3"/>
  <c r="C2"/>
  <c r="B2" s="1"/>
  <c r="C43"/>
  <c r="B43" s="1"/>
  <c r="C36"/>
  <c r="B36" s="1"/>
  <c r="C28"/>
  <c r="C19"/>
  <c r="C62"/>
  <c r="C61"/>
  <c r="C60"/>
  <c r="C59"/>
  <c r="C58"/>
  <c r="C57"/>
  <c r="C56"/>
  <c r="C35"/>
  <c r="C27"/>
  <c r="B27" s="1"/>
  <c r="C14"/>
  <c r="B14" s="1"/>
  <c r="C7"/>
  <c r="B7" s="1"/>
  <c r="C75"/>
  <c r="C67"/>
  <c r="B67" s="1"/>
  <c r="C42"/>
  <c r="B42" s="1"/>
  <c r="C34"/>
  <c r="C26"/>
  <c r="B26" s="1"/>
  <c r="C25"/>
  <c r="B25" s="1"/>
  <c r="C13"/>
  <c r="C12"/>
  <c r="C11"/>
  <c r="C6"/>
  <c r="C78"/>
  <c r="B78" s="1"/>
  <c r="C74"/>
  <c r="C45"/>
  <c r="C51"/>
  <c r="B51" s="1"/>
  <c r="C48"/>
  <c r="B48" s="1"/>
  <c r="C41"/>
  <c r="B41" s="1"/>
  <c r="C33"/>
  <c r="C24"/>
  <c r="C47"/>
  <c r="C40"/>
  <c r="C32"/>
  <c r="B32" s="1"/>
  <c r="C23"/>
  <c r="B23" s="1"/>
  <c r="C76"/>
  <c r="B76" s="1"/>
  <c r="C77"/>
  <c r="B77" s="1"/>
  <c r="C73"/>
  <c r="C72"/>
  <c r="C70"/>
  <c r="B70" s="1"/>
  <c r="C68"/>
  <c r="C55"/>
  <c r="C53"/>
  <c r="B53" s="1"/>
  <c r="C50"/>
  <c r="B50" s="1"/>
  <c r="C46"/>
  <c r="C39"/>
  <c r="C38"/>
  <c r="C31"/>
  <c r="C30"/>
  <c r="C22"/>
  <c r="B22" s="1"/>
  <c r="C21"/>
  <c r="B21" s="1"/>
  <c r="C9"/>
  <c r="C5"/>
  <c r="B5" s="1"/>
  <c r="C79"/>
  <c r="C66"/>
  <c r="C65"/>
  <c r="C64"/>
  <c r="C63"/>
  <c r="C54"/>
  <c r="C52"/>
  <c r="B52" s="1"/>
  <c r="C49"/>
  <c r="B49" s="1"/>
  <c r="C44"/>
  <c r="B44" s="1"/>
  <c r="C37"/>
  <c r="B37" s="1"/>
  <c r="C29"/>
  <c r="C20"/>
  <c r="C8"/>
  <c r="B8" s="1"/>
  <c r="C4"/>
  <c r="Q57"/>
  <c r="Q58"/>
  <c r="Q59"/>
  <c r="Q60"/>
  <c r="Q61"/>
  <c r="Q62"/>
  <c r="Q2"/>
  <c r="Q3"/>
  <c r="Q15"/>
  <c r="Q16"/>
  <c r="Q17"/>
  <c r="Q18"/>
  <c r="Q56"/>
  <c r="AF18"/>
  <c r="W18" s="1"/>
  <c r="AG18"/>
  <c r="AF17"/>
  <c r="AG17"/>
  <c r="AF16"/>
  <c r="W16" s="1"/>
  <c r="AG16"/>
  <c r="AG15"/>
  <c r="AF15"/>
  <c r="W17"/>
  <c r="V18"/>
  <c r="V17"/>
  <c r="V16"/>
  <c r="V15"/>
  <c r="T18"/>
  <c r="U18" s="1"/>
  <c r="T17"/>
  <c r="U17" s="1"/>
  <c r="T16"/>
  <c r="U16" s="1"/>
  <c r="T15"/>
  <c r="U15" s="1"/>
  <c r="M18"/>
  <c r="M17"/>
  <c r="M16"/>
  <c r="M15"/>
  <c r="V3"/>
  <c r="T3"/>
  <c r="U3" s="1"/>
  <c r="M3"/>
  <c r="AF3"/>
  <c r="W3" s="1"/>
  <c r="AG3"/>
  <c r="V2"/>
  <c r="T2"/>
  <c r="U2" s="1"/>
  <c r="M2"/>
  <c r="AF2"/>
  <c r="W2" s="1"/>
  <c r="AG2"/>
  <c r="V62"/>
  <c r="T62"/>
  <c r="U62" s="1"/>
  <c r="M62"/>
  <c r="AF62"/>
  <c r="W62" s="1"/>
  <c r="AG62"/>
  <c r="V61"/>
  <c r="T61"/>
  <c r="U61" s="1"/>
  <c r="M61"/>
  <c r="AG61"/>
  <c r="AF61"/>
  <c r="W61" s="1"/>
  <c r="AF60"/>
  <c r="AG60"/>
  <c r="W60"/>
  <c r="V60"/>
  <c r="T60"/>
  <c r="U60" s="1"/>
  <c r="M60"/>
  <c r="AF59"/>
  <c r="W59" s="1"/>
  <c r="AG59"/>
  <c r="V59"/>
  <c r="T59"/>
  <c r="U59" s="1"/>
  <c r="M59"/>
  <c r="AG58"/>
  <c r="AF58"/>
  <c r="W58" s="1"/>
  <c r="V58"/>
  <c r="T58"/>
  <c r="U58" s="1"/>
  <c r="M58"/>
  <c r="AG57"/>
  <c r="AF57"/>
  <c r="W57" s="1"/>
  <c r="V57"/>
  <c r="T57"/>
  <c r="U57" s="1"/>
  <c r="M57"/>
  <c r="AG56"/>
  <c r="AF56"/>
  <c r="W56" s="1"/>
  <c r="V56"/>
  <c r="T56"/>
  <c r="U56" s="1"/>
  <c r="M56"/>
  <c r="B14" i="4"/>
  <c r="B47"/>
  <c r="B48"/>
  <c r="B45"/>
  <c r="B44"/>
  <c r="C3"/>
  <c r="P3" s="1"/>
  <c r="Q3" s="1"/>
  <c r="N3"/>
  <c r="M3"/>
  <c r="H3"/>
  <c r="N5"/>
  <c r="K5"/>
  <c r="M5" s="1"/>
  <c r="C5"/>
  <c r="B5" s="1"/>
  <c r="N4"/>
  <c r="K4"/>
  <c r="M4" s="1"/>
  <c r="C4"/>
  <c r="P4" s="1"/>
  <c r="Q4" s="1"/>
  <c r="C2"/>
  <c r="P2" s="1"/>
  <c r="Q2" s="1"/>
  <c r="C26"/>
  <c r="P26" s="1"/>
  <c r="Q26" s="1"/>
  <c r="N2"/>
  <c r="K2"/>
  <c r="M2" s="1"/>
  <c r="N26"/>
  <c r="K26"/>
  <c r="M26" s="1"/>
  <c r="C27"/>
  <c r="P27" s="1"/>
  <c r="Q27" s="1"/>
  <c r="N27"/>
  <c r="K27"/>
  <c r="M27" s="1"/>
  <c r="C42"/>
  <c r="P42" s="1"/>
  <c r="Q42" s="1"/>
  <c r="N42"/>
  <c r="K42"/>
  <c r="M42" s="1"/>
  <c r="AF44"/>
  <c r="AD44"/>
  <c r="M44"/>
  <c r="A44"/>
  <c r="N44" s="1"/>
  <c r="A45"/>
  <c r="N45" s="1"/>
  <c r="M45"/>
  <c r="AD21"/>
  <c r="AD25"/>
  <c r="AD48"/>
  <c r="AD47"/>
  <c r="AD32"/>
  <c r="AD46"/>
  <c r="AD17"/>
  <c r="AD30"/>
  <c r="AD31"/>
  <c r="AD34"/>
  <c r="AD39"/>
  <c r="AD33"/>
  <c r="AD36"/>
  <c r="AD28"/>
  <c r="AD29"/>
  <c r="AD20"/>
  <c r="AD23"/>
  <c r="AD24"/>
  <c r="AD19"/>
  <c r="AD18"/>
  <c r="AD12"/>
  <c r="AD9"/>
  <c r="AD7"/>
  <c r="AD10"/>
  <c r="AD11"/>
  <c r="AD8"/>
  <c r="AD6"/>
  <c r="AD45"/>
  <c r="AC21"/>
  <c r="AC25"/>
  <c r="AC48"/>
  <c r="AC47"/>
  <c r="AC32"/>
  <c r="AC17"/>
  <c r="AC30"/>
  <c r="AC31"/>
  <c r="AC34"/>
  <c r="AC39"/>
  <c r="AC33"/>
  <c r="AC36"/>
  <c r="AC28"/>
  <c r="AC29"/>
  <c r="AC20"/>
  <c r="AC23"/>
  <c r="AC24"/>
  <c r="AC19"/>
  <c r="AC18"/>
  <c r="AC12"/>
  <c r="AC9"/>
  <c r="AC7"/>
  <c r="AC10"/>
  <c r="AC11"/>
  <c r="AC8"/>
  <c r="AC6"/>
  <c r="AF45"/>
  <c r="C40"/>
  <c r="P40" s="1"/>
  <c r="Q40" s="1"/>
  <c r="N40"/>
  <c r="K40"/>
  <c r="M40" s="1"/>
  <c r="N41"/>
  <c r="K41"/>
  <c r="M41" s="1"/>
  <c r="C41"/>
  <c r="B41" s="1"/>
  <c r="N35"/>
  <c r="K35"/>
  <c r="M35" s="1"/>
  <c r="C35"/>
  <c r="B35" s="1"/>
  <c r="M79" i="1"/>
  <c r="T79"/>
  <c r="U79" s="1"/>
  <c r="V79"/>
  <c r="AG79"/>
  <c r="AF79"/>
  <c r="W79" s="1"/>
  <c r="AG76"/>
  <c r="AF76"/>
  <c r="T76"/>
  <c r="U76" s="1"/>
  <c r="M76"/>
  <c r="V76"/>
  <c r="AG5"/>
  <c r="V75"/>
  <c r="T75"/>
  <c r="U75" s="1"/>
  <c r="M75"/>
  <c r="AF75"/>
  <c r="W75" s="1"/>
  <c r="AG75"/>
  <c r="V67"/>
  <c r="T67"/>
  <c r="U67" s="1"/>
  <c r="M67"/>
  <c r="AG67"/>
  <c r="AF67"/>
  <c r="V26"/>
  <c r="T26"/>
  <c r="U26" s="1"/>
  <c r="M26"/>
  <c r="AG26"/>
  <c r="AF26"/>
  <c r="W26" s="1"/>
  <c r="AG13"/>
  <c r="AF13"/>
  <c r="W13" s="1"/>
  <c r="M13"/>
  <c r="T13"/>
  <c r="U13" s="1"/>
  <c r="V13"/>
  <c r="M19" i="4"/>
  <c r="M24"/>
  <c r="M32"/>
  <c r="M47"/>
  <c r="M48"/>
  <c r="M46"/>
  <c r="M4" i="1"/>
  <c r="M8"/>
  <c r="M5"/>
  <c r="M20"/>
  <c r="M29"/>
  <c r="M9"/>
  <c r="M37"/>
  <c r="M44"/>
  <c r="M21"/>
  <c r="M22"/>
  <c r="M49"/>
  <c r="M52"/>
  <c r="M10"/>
  <c r="M6"/>
  <c r="M30"/>
  <c r="M31"/>
  <c r="M54"/>
  <c r="M63"/>
  <c r="M23"/>
  <c r="M38"/>
  <c r="M39"/>
  <c r="M64"/>
  <c r="M24"/>
  <c r="M65"/>
  <c r="M46"/>
  <c r="M66"/>
  <c r="M32"/>
  <c r="M11"/>
  <c r="M12"/>
  <c r="M33"/>
  <c r="M7"/>
  <c r="M50"/>
  <c r="M40"/>
  <c r="M53"/>
  <c r="M41"/>
  <c r="M25"/>
  <c r="M55"/>
  <c r="M47"/>
  <c r="M48"/>
  <c r="M14"/>
  <c r="M34"/>
  <c r="M51"/>
  <c r="M19"/>
  <c r="M42"/>
  <c r="M45"/>
  <c r="M27"/>
  <c r="M28"/>
  <c r="M35"/>
  <c r="M68"/>
  <c r="M36"/>
  <c r="M43"/>
  <c r="M70"/>
  <c r="M69"/>
  <c r="M72"/>
  <c r="M71"/>
  <c r="M73"/>
  <c r="M74"/>
  <c r="M77"/>
  <c r="M78"/>
  <c r="M80"/>
  <c r="T43"/>
  <c r="U43" s="1"/>
  <c r="T36"/>
  <c r="U36" s="1"/>
  <c r="T28"/>
  <c r="U28" s="1"/>
  <c r="T19"/>
  <c r="U19" s="1"/>
  <c r="T35"/>
  <c r="U35" s="1"/>
  <c r="T27"/>
  <c r="U27" s="1"/>
  <c r="T14"/>
  <c r="U14" s="1"/>
  <c r="T7"/>
  <c r="U7" s="1"/>
  <c r="T42"/>
  <c r="U42" s="1"/>
  <c r="T34"/>
  <c r="U34" s="1"/>
  <c r="T25"/>
  <c r="U25" s="1"/>
  <c r="T12"/>
  <c r="U12" s="1"/>
  <c r="T11"/>
  <c r="U11" s="1"/>
  <c r="T6"/>
  <c r="U6" s="1"/>
  <c r="T78"/>
  <c r="U78" s="1"/>
  <c r="T74"/>
  <c r="U74" s="1"/>
  <c r="T71"/>
  <c r="U71" s="1"/>
  <c r="T69"/>
  <c r="U69" s="1"/>
  <c r="T45"/>
  <c r="U45" s="1"/>
  <c r="T51"/>
  <c r="U51" s="1"/>
  <c r="T48"/>
  <c r="U48" s="1"/>
  <c r="T41"/>
  <c r="U41" s="1"/>
  <c r="T33"/>
  <c r="U33" s="1"/>
  <c r="T24"/>
  <c r="U24" s="1"/>
  <c r="T10"/>
  <c r="U10" s="1"/>
  <c r="T47"/>
  <c r="U47" s="1"/>
  <c r="T40"/>
  <c r="U40" s="1"/>
  <c r="T32"/>
  <c r="U32" s="1"/>
  <c r="T23"/>
  <c r="U23" s="1"/>
  <c r="T80"/>
  <c r="U80" s="1"/>
  <c r="T77"/>
  <c r="U77" s="1"/>
  <c r="T73"/>
  <c r="U73" s="1"/>
  <c r="T72"/>
  <c r="U72" s="1"/>
  <c r="T70"/>
  <c r="U70" s="1"/>
  <c r="T68"/>
  <c r="U68" s="1"/>
  <c r="T55"/>
  <c r="U55" s="1"/>
  <c r="T53"/>
  <c r="U53" s="1"/>
  <c r="T50"/>
  <c r="U50" s="1"/>
  <c r="T46"/>
  <c r="U46" s="1"/>
  <c r="T39"/>
  <c r="U39" s="1"/>
  <c r="T38"/>
  <c r="U38" s="1"/>
  <c r="T31"/>
  <c r="U31" s="1"/>
  <c r="T30"/>
  <c r="U30" s="1"/>
  <c r="T22"/>
  <c r="U22" s="1"/>
  <c r="T21"/>
  <c r="U21" s="1"/>
  <c r="T9"/>
  <c r="U9" s="1"/>
  <c r="T5"/>
  <c r="U5" s="1"/>
  <c r="T66"/>
  <c r="U66" s="1"/>
  <c r="T65"/>
  <c r="U65" s="1"/>
  <c r="T64"/>
  <c r="U64" s="1"/>
  <c r="T63"/>
  <c r="U63" s="1"/>
  <c r="T54"/>
  <c r="U54" s="1"/>
  <c r="T52"/>
  <c r="U52" s="1"/>
  <c r="T49"/>
  <c r="U49" s="1"/>
  <c r="T44"/>
  <c r="U44" s="1"/>
  <c r="T37"/>
  <c r="U37" s="1"/>
  <c r="T29"/>
  <c r="U29" s="1"/>
  <c r="T20"/>
  <c r="U20" s="1"/>
  <c r="T8"/>
  <c r="U8" s="1"/>
  <c r="T4"/>
  <c r="U4" s="1"/>
  <c r="V43"/>
  <c r="V36"/>
  <c r="V28"/>
  <c r="V19"/>
  <c r="V35"/>
  <c r="V27"/>
  <c r="V14"/>
  <c r="V7"/>
  <c r="V42"/>
  <c r="V34"/>
  <c r="V25"/>
  <c r="V12"/>
  <c r="V11"/>
  <c r="V6"/>
  <c r="V78"/>
  <c r="V74"/>
  <c r="V71"/>
  <c r="V69"/>
  <c r="V45"/>
  <c r="V51"/>
  <c r="V48"/>
  <c r="V41"/>
  <c r="V33"/>
  <c r="V24"/>
  <c r="V10"/>
  <c r="V47"/>
  <c r="V40"/>
  <c r="V32"/>
  <c r="V23"/>
  <c r="V80"/>
  <c r="V77"/>
  <c r="V73"/>
  <c r="V72"/>
  <c r="V70"/>
  <c r="V68"/>
  <c r="V55"/>
  <c r="V53"/>
  <c r="V50"/>
  <c r="V46"/>
  <c r="V39"/>
  <c r="V38"/>
  <c r="V31"/>
  <c r="V30"/>
  <c r="V22"/>
  <c r="V21"/>
  <c r="V9"/>
  <c r="V5"/>
  <c r="V66"/>
  <c r="V65"/>
  <c r="V64"/>
  <c r="V63"/>
  <c r="V54"/>
  <c r="V52"/>
  <c r="V49"/>
  <c r="V44"/>
  <c r="V37"/>
  <c r="V29"/>
  <c r="V20"/>
  <c r="V8"/>
  <c r="V4"/>
  <c r="AG35"/>
  <c r="AF35"/>
  <c r="W35" s="1"/>
  <c r="AF27"/>
  <c r="W27" s="1"/>
  <c r="AG27"/>
  <c r="AF14"/>
  <c r="W14" s="1"/>
  <c r="AG14"/>
  <c r="AF7"/>
  <c r="W7" s="1"/>
  <c r="AG7"/>
  <c r="AF42"/>
  <c r="W42" s="1"/>
  <c r="AG42"/>
  <c r="AF34"/>
  <c r="W34" s="1"/>
  <c r="AG34"/>
  <c r="AF25"/>
  <c r="W25" s="1"/>
  <c r="AG25"/>
  <c r="AF12"/>
  <c r="W12" s="1"/>
  <c r="AG12"/>
  <c r="AF6"/>
  <c r="W6" s="1"/>
  <c r="AG6"/>
  <c r="AF39"/>
  <c r="W39" s="1"/>
  <c r="AG39"/>
  <c r="AF31"/>
  <c r="W31" s="1"/>
  <c r="AG31"/>
  <c r="AF22"/>
  <c r="W22" s="1"/>
  <c r="AG22"/>
  <c r="AF9"/>
  <c r="W9" s="1"/>
  <c r="AG9"/>
  <c r="AF5"/>
  <c r="W5" s="1"/>
  <c r="AF66"/>
  <c r="W66" s="1"/>
  <c r="AG66"/>
  <c r="AF65"/>
  <c r="W65" s="1"/>
  <c r="AG65"/>
  <c r="AF64"/>
  <c r="W64" s="1"/>
  <c r="AG64"/>
  <c r="AF63"/>
  <c r="W63" s="1"/>
  <c r="AG63"/>
  <c r="AF54"/>
  <c r="W54" s="1"/>
  <c r="AG54"/>
  <c r="AF52"/>
  <c r="W52" s="1"/>
  <c r="AG52"/>
  <c r="AF49"/>
  <c r="W49" s="1"/>
  <c r="AG49"/>
  <c r="AF44"/>
  <c r="W44" s="1"/>
  <c r="AG44"/>
  <c r="AF37"/>
  <c r="W37" s="1"/>
  <c r="AG37"/>
  <c r="AF29"/>
  <c r="W29" s="1"/>
  <c r="AG29"/>
  <c r="AF20"/>
  <c r="W20" s="1"/>
  <c r="AG20"/>
  <c r="AF8"/>
  <c r="W8" s="1"/>
  <c r="AG8"/>
  <c r="AF4"/>
  <c r="W4" s="1"/>
  <c r="AG4"/>
  <c r="N25" i="4"/>
  <c r="K25"/>
  <c r="M25" s="1"/>
  <c r="C25"/>
  <c r="P25" s="1"/>
  <c r="Q25" s="1"/>
  <c r="AF25"/>
  <c r="AF46"/>
  <c r="C46"/>
  <c r="P46" s="1"/>
  <c r="Q46" s="1"/>
  <c r="C24"/>
  <c r="P24" s="1"/>
  <c r="Q24" s="1"/>
  <c r="C18"/>
  <c r="P18" s="1"/>
  <c r="Q18" s="1"/>
  <c r="N18"/>
  <c r="K18"/>
  <c r="M18" s="1"/>
  <c r="C19"/>
  <c r="P19" s="1"/>
  <c r="Q19" s="1"/>
  <c r="A32"/>
  <c r="C31"/>
  <c r="P31" s="1"/>
  <c r="Q31" s="1"/>
  <c r="N31"/>
  <c r="K31"/>
  <c r="M31" s="1"/>
  <c r="C22"/>
  <c r="P22" s="1"/>
  <c r="Q22" s="1"/>
  <c r="N22"/>
  <c r="K22"/>
  <c r="M22" s="1"/>
  <c r="C23"/>
  <c r="P23" s="1"/>
  <c r="Q23" s="1"/>
  <c r="N23"/>
  <c r="K23"/>
  <c r="M23" s="1"/>
  <c r="C21"/>
  <c r="P21" s="1"/>
  <c r="Q21" s="1"/>
  <c r="N21"/>
  <c r="K21"/>
  <c r="M21" s="1"/>
  <c r="K10"/>
  <c r="M10" s="1"/>
  <c r="N10"/>
  <c r="C10"/>
  <c r="P10" s="1"/>
  <c r="Q10" s="1"/>
  <c r="N29"/>
  <c r="N39"/>
  <c r="K29"/>
  <c r="M29" s="1"/>
  <c r="K39"/>
  <c r="M39" s="1"/>
  <c r="K36"/>
  <c r="M36" s="1"/>
  <c r="C29"/>
  <c r="P29" s="1"/>
  <c r="Q29" s="1"/>
  <c r="C39"/>
  <c r="N36"/>
  <c r="C36"/>
  <c r="P36" s="1"/>
  <c r="Q36" s="1"/>
  <c r="N34"/>
  <c r="N33"/>
  <c r="K34"/>
  <c r="M34" s="1"/>
  <c r="K33"/>
  <c r="M33" s="1"/>
  <c r="C34"/>
  <c r="P34" s="1"/>
  <c r="Q34" s="1"/>
  <c r="N30"/>
  <c r="N28"/>
  <c r="N20"/>
  <c r="N12"/>
  <c r="N7"/>
  <c r="N9"/>
  <c r="N6"/>
  <c r="N8"/>
  <c r="N11"/>
  <c r="N38"/>
  <c r="N37"/>
  <c r="C33"/>
  <c r="P33" s="1"/>
  <c r="Q33" s="1"/>
  <c r="K30"/>
  <c r="M30" s="1"/>
  <c r="K28"/>
  <c r="M28" s="1"/>
  <c r="K20"/>
  <c r="M20" s="1"/>
  <c r="K12"/>
  <c r="M12" s="1"/>
  <c r="K7"/>
  <c r="M7" s="1"/>
  <c r="K9"/>
  <c r="M9" s="1"/>
  <c r="K6"/>
  <c r="M6" s="1"/>
  <c r="K8"/>
  <c r="M8" s="1"/>
  <c r="K11"/>
  <c r="M11" s="1"/>
  <c r="K38"/>
  <c r="M38" s="1"/>
  <c r="K37"/>
  <c r="M37" s="1"/>
  <c r="C30"/>
  <c r="P30" s="1"/>
  <c r="Q30" s="1"/>
  <c r="C28"/>
  <c r="P28" s="1"/>
  <c r="Q28" s="1"/>
  <c r="C20"/>
  <c r="P20" s="1"/>
  <c r="Q20" s="1"/>
  <c r="C12"/>
  <c r="P12" s="1"/>
  <c r="Q12" s="1"/>
  <c r="C7"/>
  <c r="P7" s="1"/>
  <c r="Q7" s="1"/>
  <c r="C9"/>
  <c r="P9" s="1"/>
  <c r="Q9" s="1"/>
  <c r="C6"/>
  <c r="P6" s="1"/>
  <c r="Q6" s="1"/>
  <c r="C8"/>
  <c r="P8" s="1"/>
  <c r="Q8" s="1"/>
  <c r="C11"/>
  <c r="P11" s="1"/>
  <c r="Q11" s="1"/>
  <c r="C17"/>
  <c r="P17" s="1"/>
  <c r="Q17" s="1"/>
  <c r="A17"/>
  <c r="N17" s="1"/>
  <c r="A14"/>
  <c r="K14" s="1"/>
  <c r="M14" s="1"/>
  <c r="C38"/>
  <c r="P38" s="1"/>
  <c r="Q38" s="1"/>
  <c r="C37"/>
  <c r="P37" s="1"/>
  <c r="Q37" s="1"/>
  <c r="AA43" i="1"/>
  <c r="Z43"/>
  <c r="AA36"/>
  <c r="Z36"/>
  <c r="AA28"/>
  <c r="Z28"/>
  <c r="AA19"/>
  <c r="Z19"/>
  <c r="AA72"/>
  <c r="Z72"/>
  <c r="AA70"/>
  <c r="Z70"/>
  <c r="AA68"/>
  <c r="Z68"/>
  <c r="AA55"/>
  <c r="Z55"/>
  <c r="W55" s="1"/>
  <c r="AA53"/>
  <c r="Z53"/>
  <c r="W53" s="1"/>
  <c r="AA50"/>
  <c r="Z50"/>
  <c r="AA46"/>
  <c r="Z46"/>
  <c r="W46" s="1"/>
  <c r="AA38"/>
  <c r="Z38"/>
  <c r="AA30"/>
  <c r="Z30"/>
  <c r="AA21"/>
  <c r="Z21"/>
  <c r="AS111" s="1"/>
  <c r="AA80"/>
  <c r="E80" s="1"/>
  <c r="F80" s="1"/>
  <c r="Z80"/>
  <c r="W80" s="1"/>
  <c r="AA77"/>
  <c r="Z77"/>
  <c r="W77" s="1"/>
  <c r="Z73"/>
  <c r="W73" s="1"/>
  <c r="AA73"/>
  <c r="B63" i="4" l="1"/>
  <c r="P39"/>
  <c r="Q39" s="1"/>
  <c r="P61"/>
  <c r="Q61" s="1"/>
  <c r="P62"/>
  <c r="Q62" s="1"/>
  <c r="B115" i="1"/>
  <c r="AB113"/>
  <c r="G86"/>
  <c r="B87"/>
  <c r="B88"/>
  <c r="AB83"/>
  <c r="AB84"/>
  <c r="AB85"/>
  <c r="G87"/>
  <c r="D89"/>
  <c r="C89" s="1"/>
  <c r="B89" s="1"/>
  <c r="AB89"/>
  <c r="W86"/>
  <c r="W87"/>
  <c r="E83"/>
  <c r="D84"/>
  <c r="C84" s="1"/>
  <c r="B84" s="1"/>
  <c r="D85"/>
  <c r="C85" s="1"/>
  <c r="B85" s="1"/>
  <c r="D83"/>
  <c r="C83" s="1"/>
  <c r="B83" s="1"/>
  <c r="W84"/>
  <c r="AB86"/>
  <c r="W85"/>
  <c r="G88"/>
  <c r="W88"/>
  <c r="AB88"/>
  <c r="AB87"/>
  <c r="B86"/>
  <c r="G115"/>
  <c r="D113"/>
  <c r="C113" s="1"/>
  <c r="B113" s="1"/>
  <c r="AB114"/>
  <c r="D114"/>
  <c r="AB115"/>
  <c r="B4"/>
  <c r="B20"/>
  <c r="B54"/>
  <c r="B64"/>
  <c r="B66"/>
  <c r="B30"/>
  <c r="B38"/>
  <c r="B46"/>
  <c r="B68"/>
  <c r="B72"/>
  <c r="B40"/>
  <c r="B24"/>
  <c r="B74"/>
  <c r="B6"/>
  <c r="B12"/>
  <c r="B34"/>
  <c r="B56"/>
  <c r="B58"/>
  <c r="B60"/>
  <c r="B62"/>
  <c r="B28"/>
  <c r="B82"/>
  <c r="B16"/>
  <c r="B18"/>
  <c r="B32" i="4"/>
  <c r="B29" i="1"/>
  <c r="B63"/>
  <c r="B65"/>
  <c r="B79"/>
  <c r="B9"/>
  <c r="B31"/>
  <c r="B39"/>
  <c r="B55"/>
  <c r="B73"/>
  <c r="B47"/>
  <c r="B33"/>
  <c r="B11"/>
  <c r="B13"/>
  <c r="B75"/>
  <c r="B35"/>
  <c r="B59"/>
  <c r="B61"/>
  <c r="B19"/>
  <c r="B15"/>
  <c r="B17"/>
  <c r="B81"/>
  <c r="AB10"/>
  <c r="D10"/>
  <c r="G10" s="1"/>
  <c r="H10" s="1"/>
  <c r="AB71"/>
  <c r="N33" i="10"/>
  <c r="K33"/>
  <c r="L33" s="1"/>
  <c r="N32"/>
  <c r="K32"/>
  <c r="L32" s="1"/>
  <c r="K28"/>
  <c r="L28" s="1"/>
  <c r="K24"/>
  <c r="M24"/>
  <c r="N24" s="1"/>
  <c r="L24"/>
  <c r="P66" i="4"/>
  <c r="Q66" s="1"/>
  <c r="Q63"/>
  <c r="D80" i="1"/>
  <c r="G80" s="1"/>
  <c r="H80" s="1"/>
  <c r="AB69"/>
  <c r="AP69"/>
  <c r="C69"/>
  <c r="B69" s="1"/>
  <c r="D71"/>
  <c r="G71" s="1"/>
  <c r="H71" s="1"/>
  <c r="E69"/>
  <c r="B65" i="4"/>
  <c r="B3" i="1"/>
  <c r="O18" i="10"/>
  <c r="AH82" i="1"/>
  <c r="P43" i="4"/>
  <c r="Q43" s="1"/>
  <c r="AH81" i="1"/>
  <c r="AH17"/>
  <c r="AH15"/>
  <c r="AH16"/>
  <c r="W15"/>
  <c r="AH18"/>
  <c r="AH3"/>
  <c r="AH56"/>
  <c r="AH59"/>
  <c r="AH62"/>
  <c r="AH2"/>
  <c r="AH60"/>
  <c r="AH58"/>
  <c r="AH61"/>
  <c r="B31" i="4"/>
  <c r="B2"/>
  <c r="B27"/>
  <c r="B34"/>
  <c r="B33"/>
  <c r="B38"/>
  <c r="B40"/>
  <c r="B24"/>
  <c r="B18"/>
  <c r="B21"/>
  <c r="B25"/>
  <c r="B17"/>
  <c r="B28"/>
  <c r="B12"/>
  <c r="B7"/>
  <c r="B10"/>
  <c r="B8"/>
  <c r="B3"/>
  <c r="B4"/>
  <c r="B26"/>
  <c r="B42"/>
  <c r="B39"/>
  <c r="B36"/>
  <c r="B46"/>
  <c r="B37"/>
  <c r="B29"/>
  <c r="B19"/>
  <c r="B22"/>
  <c r="B23"/>
  <c r="B30"/>
  <c r="B20"/>
  <c r="B9"/>
  <c r="B6"/>
  <c r="B11"/>
  <c r="AH76" i="1"/>
  <c r="P5" i="4"/>
  <c r="Q5" s="1"/>
  <c r="P41"/>
  <c r="Q41" s="1"/>
  <c r="W76" i="1"/>
  <c r="AH79"/>
  <c r="P35" i="4"/>
  <c r="Q35" s="1"/>
  <c r="AH5" i="1"/>
  <c r="AH26"/>
  <c r="AH67"/>
  <c r="AH75"/>
  <c r="W67"/>
  <c r="AH13"/>
  <c r="AB21"/>
  <c r="AB30"/>
  <c r="AB38"/>
  <c r="AB46"/>
  <c r="AB50"/>
  <c r="AB53"/>
  <c r="AH4"/>
  <c r="AH8"/>
  <c r="AH20"/>
  <c r="AH44"/>
  <c r="AH49"/>
  <c r="AH54"/>
  <c r="AH63"/>
  <c r="AH64"/>
  <c r="AH65"/>
  <c r="AH66"/>
  <c r="AH9"/>
  <c r="AH22"/>
  <c r="AH34"/>
  <c r="AH7"/>
  <c r="AH14"/>
  <c r="AH27"/>
  <c r="AH35"/>
  <c r="AH39"/>
  <c r="AH6"/>
  <c r="AH12"/>
  <c r="AH25"/>
  <c r="AH37"/>
  <c r="AB55"/>
  <c r="AB68"/>
  <c r="AB70"/>
  <c r="AB72"/>
  <c r="AS110"/>
  <c r="AH31"/>
  <c r="AH42"/>
  <c r="AT110"/>
  <c r="AH52"/>
  <c r="AB19"/>
  <c r="AT111"/>
  <c r="AH29"/>
  <c r="K17" i="4"/>
  <c r="M17" s="1"/>
  <c r="N14"/>
  <c r="AB43" i="1"/>
  <c r="AB36"/>
  <c r="AB28"/>
  <c r="AB77"/>
  <c r="AB80"/>
  <c r="AB73"/>
  <c r="AF78"/>
  <c r="W78" s="1"/>
  <c r="AG78"/>
  <c r="AF74"/>
  <c r="W74" s="1"/>
  <c r="AG74"/>
  <c r="AF71"/>
  <c r="W71" s="1"/>
  <c r="AG71"/>
  <c r="AF69"/>
  <c r="W69" s="1"/>
  <c r="AG69"/>
  <c r="AG45"/>
  <c r="AF45"/>
  <c r="W45" s="1"/>
  <c r="AG43"/>
  <c r="AF43"/>
  <c r="W43" s="1"/>
  <c r="AG36"/>
  <c r="AF36"/>
  <c r="W36" s="1"/>
  <c r="AF72"/>
  <c r="W72" s="1"/>
  <c r="AG72"/>
  <c r="AG70"/>
  <c r="AF70"/>
  <c r="W70" s="1"/>
  <c r="AF47"/>
  <c r="W47" s="1"/>
  <c r="AG47"/>
  <c r="AF40"/>
  <c r="W40" s="1"/>
  <c r="AG40"/>
  <c r="AG32"/>
  <c r="AF32"/>
  <c r="W32" s="1"/>
  <c r="AG23"/>
  <c r="AF23"/>
  <c r="W23" s="1"/>
  <c r="AG51"/>
  <c r="AF51"/>
  <c r="W51" s="1"/>
  <c r="AG48"/>
  <c r="AF48"/>
  <c r="W48" s="1"/>
  <c r="AG41"/>
  <c r="AF41"/>
  <c r="W41" s="1"/>
  <c r="AG33"/>
  <c r="AF33"/>
  <c r="W33" s="1"/>
  <c r="AG24"/>
  <c r="AF24"/>
  <c r="W24" s="1"/>
  <c r="AG10"/>
  <c r="AF10"/>
  <c r="W10" s="1"/>
  <c r="AG28"/>
  <c r="AF28"/>
  <c r="W28" s="1"/>
  <c r="AG19"/>
  <c r="AF19"/>
  <c r="W19" s="1"/>
  <c r="AG68"/>
  <c r="AF68"/>
  <c r="W68" s="1"/>
  <c r="AG50"/>
  <c r="AF50"/>
  <c r="W50" s="1"/>
  <c r="AG38"/>
  <c r="AF38"/>
  <c r="W38" s="1"/>
  <c r="AG30"/>
  <c r="AF30"/>
  <c r="W30" s="1"/>
  <c r="AG21"/>
  <c r="AF21"/>
  <c r="W21" s="1"/>
  <c r="AC11"/>
  <c r="AF11" s="1"/>
  <c r="G69" l="1"/>
  <c r="H69" s="1"/>
  <c r="F69"/>
  <c r="G89"/>
  <c r="G85"/>
  <c r="G83"/>
  <c r="G84"/>
  <c r="G113"/>
  <c r="AP10"/>
  <c r="C10"/>
  <c r="B10" s="1"/>
  <c r="AP80"/>
  <c r="C80"/>
  <c r="B80" s="1"/>
  <c r="AP71"/>
  <c r="C71"/>
  <c r="B71" s="1"/>
  <c r="AS105"/>
  <c r="AV105" s="1"/>
  <c r="W11"/>
  <c r="AS103"/>
  <c r="AV103" s="1"/>
  <c r="AH72"/>
  <c r="AT103"/>
  <c r="AW103" s="1"/>
  <c r="AT106"/>
  <c r="AW106" s="1"/>
  <c r="AS106"/>
  <c r="AV106" s="1"/>
  <c r="AH43"/>
  <c r="AH69"/>
  <c r="AH71"/>
  <c r="AH74"/>
  <c r="AH78"/>
  <c r="AS102"/>
  <c r="AV102" s="1"/>
  <c r="AS104"/>
  <c r="AV104" s="1"/>
  <c r="AH45"/>
  <c r="AH36"/>
  <c r="AH70"/>
  <c r="AH40"/>
  <c r="AH47"/>
  <c r="AH21"/>
  <c r="AH30"/>
  <c r="AH38"/>
  <c r="AH50"/>
  <c r="AH68"/>
  <c r="AH19"/>
  <c r="AH28"/>
  <c r="AH10"/>
  <c r="AH24"/>
  <c r="AH48"/>
  <c r="AH51"/>
  <c r="AH23"/>
  <c r="AH32"/>
  <c r="AH41"/>
  <c r="AH33"/>
  <c r="AG11"/>
  <c r="AT102" s="1"/>
  <c r="AW102" s="1"/>
  <c r="AT104" l="1"/>
  <c r="AW104" s="1"/>
  <c r="AH11"/>
  <c r="AT105"/>
  <c r="AW105" s="1"/>
  <c r="G114"/>
  <c r="C114"/>
  <c r="B114" s="1"/>
</calcChain>
</file>

<file path=xl/sharedStrings.xml><?xml version="1.0" encoding="utf-8"?>
<sst xmlns="http://schemas.openxmlformats.org/spreadsheetml/2006/main" count="994" uniqueCount="228">
  <si>
    <t>Dist Min</t>
  </si>
  <si>
    <t>Dist Max</t>
  </si>
  <si>
    <t>Period</t>
  </si>
  <si>
    <t>Error</t>
  </si>
  <si>
    <t>Echantillon B coupes TEM Torres</t>
  </si>
  <si>
    <t>Informations ripples</t>
  </si>
  <si>
    <t>Date</t>
  </si>
  <si>
    <t>Chemin d'accès réseau LP3</t>
  </si>
  <si>
    <t>Fluence (J/cm2)</t>
  </si>
  <si>
    <t>\\MEB-JEOL\Rémi\Pockels 3\F200\Tilt 0</t>
  </si>
  <si>
    <t>Description</t>
  </si>
  <si>
    <t>Incidence angle</t>
  </si>
  <si>
    <t>Polarisation</t>
  </si>
  <si>
    <t>sp</t>
  </si>
  <si>
    <t>Single shot 3</t>
  </si>
  <si>
    <t>Local</t>
  </si>
  <si>
    <t>Relative</t>
  </si>
  <si>
    <t>\\MEB-JEOL\Rémi\Pockels 1</t>
  </si>
  <si>
    <t>\\MEB-JEOL\Rémi\Pockels 2</t>
  </si>
  <si>
    <t>\\MEB-JEOL\Rémi\Pockels 3\F850</t>
  </si>
  <si>
    <t>Fluences</t>
  </si>
  <si>
    <t>Ripple Spacing</t>
  </si>
  <si>
    <t>nm</t>
  </si>
  <si>
    <t>error</t>
  </si>
  <si>
    <t>Spacing err.</t>
  </si>
  <si>
    <t>Fluence</t>
  </si>
  <si>
    <t>-</t>
  </si>
  <si>
    <t>LFSL</t>
  </si>
  <si>
    <t>HFSL</t>
  </si>
  <si>
    <t>Dist min</t>
  </si>
  <si>
    <t>Dist max</t>
  </si>
  <si>
    <t>DIRECT SPACE MEASUREMENTS EXPERIMENTS</t>
  </si>
  <si>
    <t>Average ripple spacing</t>
  </si>
  <si>
    <t>Spacing error</t>
  </si>
  <si>
    <t>Auteur</t>
  </si>
  <si>
    <t>Revue</t>
  </si>
  <si>
    <t>Année</t>
  </si>
  <si>
    <t>N</t>
  </si>
  <si>
    <t>Angle</t>
  </si>
  <si>
    <t>Borowiec</t>
  </si>
  <si>
    <t>APL 82 25</t>
  </si>
  <si>
    <t>Matériau</t>
  </si>
  <si>
    <t>Wavelength (nm)</t>
  </si>
  <si>
    <t>tau (ps)</t>
  </si>
  <si>
    <t>Diamond</t>
  </si>
  <si>
    <t>Ozkan</t>
  </si>
  <si>
    <t>APL 75 23</t>
  </si>
  <si>
    <t>Période min</t>
  </si>
  <si>
    <t>Max</t>
  </si>
  <si>
    <t>Nombre</t>
  </si>
  <si>
    <t>Erreur</t>
  </si>
  <si>
    <t>Période (nm)</t>
  </si>
  <si>
    <t>InP</t>
  </si>
  <si>
    <t>Diamond PC</t>
  </si>
  <si>
    <t>Si</t>
  </si>
  <si>
    <t>Bonse</t>
  </si>
  <si>
    <t>APA 74 19</t>
  </si>
  <si>
    <t>JAP 108 034903</t>
  </si>
  <si>
    <t>Laser Intensity (W/cm²)</t>
  </si>
  <si>
    <t>Tan</t>
  </si>
  <si>
    <t>JMM 16 1</t>
  </si>
  <si>
    <t>Total (J/cm²)</t>
  </si>
  <si>
    <t>?</t>
  </si>
  <si>
    <t>Matsumura</t>
  </si>
  <si>
    <t>APA 81 1393</t>
  </si>
  <si>
    <t>JAP 106 104910</t>
  </si>
  <si>
    <t>Atm</t>
  </si>
  <si>
    <t>Daminelli</t>
  </si>
  <si>
    <t>TSFilms 467 334</t>
  </si>
  <si>
    <t>Water</t>
  </si>
  <si>
    <t>Reif</t>
  </si>
  <si>
    <t>MSE B 134 114</t>
  </si>
  <si>
    <t>Vacuum</t>
  </si>
  <si>
    <t>Rep. Rate</t>
  </si>
  <si>
    <t>Hommes</t>
  </si>
  <si>
    <t>ASS 252</t>
  </si>
  <si>
    <t>ASS 197</t>
  </si>
  <si>
    <t>BaF2</t>
  </si>
  <si>
    <t>Doping (#/m3) (+p, -n)</t>
  </si>
  <si>
    <t>SpotFWHM (µm)</t>
  </si>
  <si>
    <t>Peak Fluence (J/cm²)</t>
  </si>
  <si>
    <t>Crawford</t>
  </si>
  <si>
    <t>ASS 253 4970</t>
  </si>
  <si>
    <t>Pulse energy (J)</t>
  </si>
  <si>
    <t>Orientation</t>
  </si>
  <si>
    <t>001</t>
  </si>
  <si>
    <t>100</t>
  </si>
  <si>
    <t>111</t>
  </si>
  <si>
    <t>Pressure</t>
  </si>
  <si>
    <t>Air</t>
  </si>
  <si>
    <t>Calculated NeMax</t>
  </si>
  <si>
    <t>SPP period</t>
  </si>
  <si>
    <t>Possible with nu_coll=1e15.</t>
  </si>
  <si>
    <t>\\MEB-JEOL\Rémi\</t>
  </si>
  <si>
    <t>Periods</t>
  </si>
  <si>
    <t>Vaccuum</t>
  </si>
  <si>
    <t>tau</t>
  </si>
  <si>
    <t>Lambda</t>
  </si>
  <si>
    <t>Normalized period</t>
  </si>
  <si>
    <t>Total energy (J/cm²)</t>
  </si>
  <si>
    <t>Single power (W/cm²)</t>
  </si>
  <si>
    <t>Total intensity (W/cm²)</t>
  </si>
  <si>
    <t>Total power</t>
  </si>
  <si>
    <t>Chloé\AFM\11juin</t>
  </si>
  <si>
    <t>11/06.2010</t>
  </si>
  <si>
    <t>Emeric</t>
  </si>
  <si>
    <t>Material</t>
  </si>
  <si>
    <t>Mo</t>
  </si>
  <si>
    <t>DLC</t>
  </si>
  <si>
    <t>Miyaji</t>
  </si>
  <si>
    <t>Focalisation</t>
  </si>
  <si>
    <t>Focal plane</t>
  </si>
  <si>
    <t>Optics Express 16</t>
  </si>
  <si>
    <t>CaF2</t>
  </si>
  <si>
    <t>Polar Type</t>
  </si>
  <si>
    <t>Linear</t>
  </si>
  <si>
    <t>Circular</t>
  </si>
  <si>
    <t>Melting threshold (Intensity) (W/m²)</t>
  </si>
  <si>
    <t>Ablation threshold (W/m²)</t>
  </si>
  <si>
    <t>Right</t>
  </si>
  <si>
    <t>Left</t>
  </si>
  <si>
    <t>Varlamova</t>
  </si>
  <si>
    <t>Martsinovkii</t>
  </si>
  <si>
    <t>Optics and Spectro 105 (10</t>
  </si>
  <si>
    <t>Orientation (0: perp, 90: para, 45:circ)</t>
  </si>
  <si>
    <t>Structure</t>
  </si>
  <si>
    <t>C.F.C.</t>
  </si>
  <si>
    <t>cubic</t>
  </si>
  <si>
    <t>Fused Si</t>
  </si>
  <si>
    <t>Ihlemann</t>
  </si>
  <si>
    <t>APA 54</t>
  </si>
  <si>
    <t>tetrahedric</t>
  </si>
  <si>
    <t>Amorphous</t>
  </si>
  <si>
    <t>FeCuNbSiB</t>
  </si>
  <si>
    <t>Jia</t>
  </si>
  <si>
    <t>ASS 253</t>
  </si>
  <si>
    <t>Birnbaum</t>
  </si>
  <si>
    <t>Lens focal (m)</t>
  </si>
  <si>
    <t>Période normalisee</t>
  </si>
  <si>
    <t>\\MEB-JEOL\chloé\onde plasmon ou pas\test pour masque plasmon\25 juin 2010</t>
  </si>
  <si>
    <t>Test taille spot plasmon Chloé</t>
  </si>
  <si>
    <t>Spot type</t>
  </si>
  <si>
    <t>Gaussian</t>
  </si>
  <si>
    <t>Ripples one shot</t>
  </si>
  <si>
    <t>\\MEB-JEOL\chloé\ripples à 1 tir\16 juin 2010</t>
  </si>
  <si>
    <t>Tophat</t>
  </si>
  <si>
    <t>\\MEB-JEOL\chloé\onde plasmon ou pas</t>
  </si>
  <si>
    <t>Spot (µm)</t>
  </si>
  <si>
    <t>Spot size (m)</t>
  </si>
  <si>
    <t>Period (nm)</t>
  </si>
  <si>
    <t>\\MEB-JEOL\stéphanie\endommagement silicium</t>
  </si>
  <si>
    <t>Semiconductors  43, 10</t>
  </si>
  <si>
    <t>REFAIRE</t>
  </si>
  <si>
    <t>Calculs d'incertitude de mesure de la période des ripples</t>
  </si>
  <si>
    <t>Zoom (x)</t>
  </si>
  <si>
    <t>Delta L</t>
  </si>
  <si>
    <t>Long. Px (N)</t>
  </si>
  <si>
    <t>delta N</t>
  </si>
  <si>
    <t>L etalonnage</t>
  </si>
  <si>
    <t>Distance mesurée (m)</t>
  </si>
  <si>
    <t>Erreur de mesure totale en considérant l'erreur sur l'étalonnage</t>
  </si>
  <si>
    <t>Erreur d'étalonnage sur MEB</t>
  </si>
  <si>
    <t>Erreur totale</t>
  </si>
  <si>
    <t>Erreur étalonnage</t>
  </si>
  <si>
    <t>Nb periods</t>
  </si>
  <si>
    <t>Err. Distance</t>
  </si>
  <si>
    <t>Min</t>
  </si>
  <si>
    <t>Périodes</t>
  </si>
  <si>
    <t>gros</t>
  </si>
  <si>
    <t>extérieurs droits</t>
  </si>
  <si>
    <t>bord gauche du spot</t>
  </si>
  <si>
    <t>moyenne</t>
  </si>
  <si>
    <t>ecart type</t>
  </si>
  <si>
    <t>Distance</t>
  </si>
  <si>
    <t>Cas particulier du ripple single shot de Chloé</t>
  </si>
  <si>
    <t>Longueur de propagation ripple</t>
  </si>
  <si>
    <t>Mesure des ripples autour de défauts</t>
  </si>
  <si>
    <t>Exp</t>
  </si>
  <si>
    <t>FDTD</t>
  </si>
  <si>
    <t>spot fdtd avec trou rayon de courbure 3 µm</t>
  </si>
  <si>
    <t>lambda</t>
  </si>
  <si>
    <t>n</t>
  </si>
  <si>
    <t>lambda/n</t>
  </si>
  <si>
    <t>Lambda nm</t>
  </si>
  <si>
    <t>Chakravarty</t>
  </si>
  <si>
    <t>JAP 109 084347</t>
  </si>
  <si>
    <t>GaP</t>
  </si>
  <si>
    <t>Gap (eV)</t>
  </si>
  <si>
    <t>Seifert</t>
  </si>
  <si>
    <t>APA 81 4</t>
  </si>
  <si>
    <t>SiO2</t>
  </si>
  <si>
    <t>GaAs</t>
  </si>
  <si>
    <t>GaN</t>
  </si>
  <si>
    <t>SiC</t>
  </si>
  <si>
    <t>Costache</t>
  </si>
  <si>
    <t>APA 79 1429</t>
  </si>
  <si>
    <t>Period normalisee</t>
  </si>
  <si>
    <t>Budiman</t>
  </si>
  <si>
    <t xml:space="preserve">APA 98 849 </t>
  </si>
  <si>
    <t>c-SiO2</t>
  </si>
  <si>
    <t>Period normalisée</t>
  </si>
  <si>
    <t>APA 54 363</t>
  </si>
  <si>
    <t>JAP 97 013538</t>
  </si>
  <si>
    <t>Mesure avec la nouvelle relation déterminée today</t>
  </si>
  <si>
    <t>erreur relative</t>
  </si>
  <si>
    <t>M</t>
  </si>
  <si>
    <t>l min</t>
  </si>
  <si>
    <t>l max</t>
  </si>
  <si>
    <t>l</t>
  </si>
  <si>
    <t>dN</t>
  </si>
  <si>
    <t>L</t>
  </si>
  <si>
    <t>dl</t>
  </si>
  <si>
    <t>dLambda mesure</t>
  </si>
  <si>
    <t>dLambda mes rel</t>
  </si>
  <si>
    <t>Methode directe</t>
  </si>
  <si>
    <t>Methode Fourier</t>
  </si>
  <si>
    <t>dLambda totale</t>
  </si>
  <si>
    <t>dLambda tot</t>
  </si>
  <si>
    <t>large…</t>
  </si>
  <si>
    <t>Sur image mieux définie…</t>
  </si>
  <si>
    <t>Methode</t>
  </si>
  <si>
    <t>FFT</t>
  </si>
  <si>
    <t>Error relative</t>
  </si>
  <si>
    <t>Maxime</t>
  </si>
  <si>
    <t>Erreur /2</t>
  </si>
  <si>
    <t>Error relative /2</t>
  </si>
  <si>
    <t>Erreur abs /2</t>
  </si>
  <si>
    <t>Error / 2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</si>
</sst>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7.7"/>
      <color theme="10"/>
      <name val="Calibri"/>
      <family val="2"/>
    </font>
    <font>
      <sz val="11"/>
      <color theme="0" tint="-0.499984740745262"/>
      <name val="Calibri"/>
      <family val="2"/>
      <scheme val="minor"/>
    </font>
    <font>
      <u/>
      <sz val="7.7"/>
      <color rgb="FFFF0000"/>
      <name val="Calibr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76">
    <xf numFmtId="0" fontId="0" fillId="0" borderId="0" xfId="0"/>
    <xf numFmtId="11" fontId="0" fillId="0" borderId="0" xfId="0" applyNumberFormat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11" fontId="8" fillId="0" borderId="7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1" fontId="0" fillId="0" borderId="5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1" fontId="2" fillId="0" borderId="5" xfId="0" applyNumberFormat="1" applyFont="1" applyBorder="1" applyAlignment="1">
      <alignment horizontal="center"/>
    </xf>
    <xf numFmtId="11" fontId="2" fillId="0" borderId="0" xfId="0" applyNumberFormat="1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1" fontId="0" fillId="0" borderId="9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1" fontId="6" fillId="0" borderId="5" xfId="0" applyNumberFormat="1" applyFont="1" applyBorder="1" applyAlignment="1">
      <alignment horizontal="center"/>
    </xf>
    <xf numFmtId="11" fontId="6" fillId="0" borderId="2" xfId="0" applyNumberFormat="1" applyFont="1" applyBorder="1" applyAlignment="1">
      <alignment horizontal="center"/>
    </xf>
    <xf numFmtId="11" fontId="5" fillId="0" borderId="5" xfId="0" applyNumberFormat="1" applyFont="1" applyBorder="1" applyAlignment="1">
      <alignment horizontal="center"/>
    </xf>
    <xf numFmtId="10" fontId="5" fillId="0" borderId="2" xfId="1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5" xfId="0" applyFill="1" applyBorder="1" applyAlignment="1">
      <alignment horizontal="center"/>
    </xf>
    <xf numFmtId="11" fontId="0" fillId="0" borderId="5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1" fillId="0" borderId="5" xfId="2" applyBorder="1" applyAlignment="1" applyProtection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1" fontId="0" fillId="0" borderId="0" xfId="0" applyNumberFormat="1" applyFill="1" applyBorder="1" applyAlignment="1">
      <alignment horizontal="center"/>
    </xf>
    <xf numFmtId="0" fontId="11" fillId="0" borderId="0" xfId="2" applyBorder="1" applyAlignment="1" applyProtection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Fill="1" applyBorder="1" applyAlignment="1">
      <alignment horizontal="center"/>
    </xf>
    <xf numFmtId="11" fontId="0" fillId="0" borderId="10" xfId="0" applyNumberForma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11" fontId="2" fillId="0" borderId="10" xfId="0" applyNumberFormat="1" applyFont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0" fontId="11" fillId="0" borderId="10" xfId="2" applyBorder="1" applyAlignment="1" applyProtection="1">
      <alignment horizont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>
      <alignment horizontal="center"/>
    </xf>
    <xf numFmtId="2" fontId="0" fillId="0" borderId="0" xfId="0" applyNumberFormat="1" applyBorder="1" applyAlignment="1">
      <alignment horizontal="center"/>
    </xf>
    <xf numFmtId="11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11" fontId="2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11" fontId="2" fillId="0" borderId="0" xfId="0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64" fontId="10" fillId="0" borderId="0" xfId="1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quotePrefix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1" fontId="0" fillId="2" borderId="0" xfId="0" applyNumberFormat="1" applyFill="1" applyBorder="1" applyAlignment="1">
      <alignment horizontal="center"/>
    </xf>
    <xf numFmtId="11" fontId="2" fillId="2" borderId="0" xfId="0" applyNumberFormat="1" applyFon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11" fontId="4" fillId="2" borderId="0" xfId="0" applyNumberFormat="1" applyFont="1" applyFill="1" applyBorder="1" applyAlignment="1">
      <alignment horizontal="center"/>
    </xf>
    <xf numFmtId="2" fontId="4" fillId="2" borderId="0" xfId="0" applyNumberFormat="1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1" fontId="0" fillId="2" borderId="0" xfId="0" applyNumberFormat="1" applyFill="1" applyAlignment="1">
      <alignment horizontal="center"/>
    </xf>
    <xf numFmtId="0" fontId="0" fillId="0" borderId="0" xfId="0" quotePrefix="1" applyFill="1" applyBorder="1" applyAlignment="1">
      <alignment horizontal="center"/>
    </xf>
    <xf numFmtId="11" fontId="3" fillId="0" borderId="0" xfId="0" applyNumberFormat="1" applyFont="1" applyFill="1" applyBorder="1" applyAlignment="1">
      <alignment horizontal="center"/>
    </xf>
    <xf numFmtId="11" fontId="3" fillId="0" borderId="0" xfId="0" applyNumberFormat="1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Border="1" applyAlignment="1">
      <alignment horizontal="center"/>
    </xf>
    <xf numFmtId="11" fontId="0" fillId="0" borderId="0" xfId="0" applyNumberFormat="1" applyAlignment="1">
      <alignment horizontal="center"/>
    </xf>
    <xf numFmtId="2" fontId="12" fillId="0" borderId="0" xfId="0" applyNumberFormat="1" applyFont="1" applyBorder="1" applyAlignment="1">
      <alignment horizontal="center"/>
    </xf>
    <xf numFmtId="0" fontId="12" fillId="0" borderId="0" xfId="0" quotePrefix="1" applyFont="1" applyFill="1" applyBorder="1" applyAlignment="1">
      <alignment horizontal="center"/>
    </xf>
    <xf numFmtId="0" fontId="12" fillId="2" borderId="0" xfId="0" quotePrefix="1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11" xfId="1" applyFont="1" applyBorder="1" applyAlignment="1">
      <alignment horizontal="center"/>
    </xf>
    <xf numFmtId="0" fontId="0" fillId="0" borderId="13" xfId="0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2" fillId="0" borderId="9" xfId="0" applyNumberFormat="1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1" fontId="4" fillId="0" borderId="3" xfId="0" applyNumberFormat="1" applyFont="1" applyBorder="1" applyAlignment="1">
      <alignment horizontal="center"/>
    </xf>
    <xf numFmtId="11" fontId="4" fillId="0" borderId="0" xfId="0" applyNumberFormat="1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0" fontId="4" fillId="0" borderId="4" xfId="1" applyNumberFormat="1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11" fontId="4" fillId="0" borderId="5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1" fontId="4" fillId="0" borderId="5" xfId="0" applyNumberFormat="1" applyFont="1" applyBorder="1" applyAlignment="1">
      <alignment horizontal="center"/>
    </xf>
    <xf numFmtId="10" fontId="4" fillId="0" borderId="2" xfId="1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14" fillId="0" borderId="0" xfId="0" applyFont="1"/>
    <xf numFmtId="11" fontId="4" fillId="0" borderId="0" xfId="0" applyNumberFormat="1" applyFont="1"/>
    <xf numFmtId="0" fontId="5" fillId="0" borderId="0" xfId="0" applyFont="1" applyAlignment="1">
      <alignment horizontal="center"/>
    </xf>
    <xf numFmtId="0" fontId="0" fillId="0" borderId="0" xfId="0" applyFill="1"/>
    <xf numFmtId="0" fontId="14" fillId="0" borderId="0" xfId="0" applyFont="1" applyFill="1"/>
    <xf numFmtId="0" fontId="4" fillId="0" borderId="0" xfId="0" applyFont="1" applyFill="1"/>
    <xf numFmtId="0" fontId="0" fillId="0" borderId="0" xfId="0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3" fillId="0" borderId="3" xfId="2" applyFont="1" applyBorder="1" applyAlignment="1" applyProtection="1">
      <alignment horizontal="center"/>
    </xf>
    <xf numFmtId="0" fontId="0" fillId="0" borderId="5" xfId="0" quotePrefix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11" fontId="0" fillId="3" borderId="0" xfId="0" applyNumberFormat="1" applyFill="1"/>
    <xf numFmtId="9" fontId="0" fillId="3" borderId="0" xfId="1" applyFont="1" applyFill="1"/>
    <xf numFmtId="9" fontId="0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Lien hypertexte" xfId="2" builtinId="8"/>
    <cellStyle name="Normal" xfId="0" builtinId="0"/>
    <cellStyle name="Pourcentage" xfId="1" builtinId="5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styles" Target="styles.xml"/><Relationship Id="rId5" Type="http://schemas.openxmlformats.org/officeDocument/2006/relationships/chartsheet" Target="chartsheets/sheet2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scatterChart>
        <c:scatterStyle val="lineMarker"/>
        <c:ser>
          <c:idx val="0"/>
          <c:order val="0"/>
          <c:tx>
            <c:v>Littérature</c:v>
          </c:tx>
          <c:spPr>
            <a:ln w="28575">
              <a:noFill/>
            </a:ln>
          </c:spPr>
          <c:marker>
            <c:symbol val="plus"/>
            <c:size val="10"/>
          </c:marker>
          <c:errBars>
            <c:errDir val="y"/>
            <c:errBarType val="both"/>
            <c:errValType val="cust"/>
            <c:plus>
              <c:numRef>
                <c:f>'RipplesSpacing-Litteratur'!$O$6:$O$63</c:f>
                <c:numCache>
                  <c:formatCode>General</c:formatCode>
                  <c:ptCount val="36"/>
                  <c:pt idx="0">
                    <c:v>20</c:v>
                  </c:pt>
                  <c:pt idx="1">
                    <c:v>25</c:v>
                  </c:pt>
                  <c:pt idx="2">
                    <c:v>4.921875</c:v>
                  </c:pt>
                  <c:pt idx="3">
                    <c:v>7.8571428571428568</c:v>
                  </c:pt>
                  <c:pt idx="4">
                    <c:v>5.3947368421052628</c:v>
                  </c:pt>
                  <c:pt idx="5">
                    <c:v>3.8157894736842106</c:v>
                  </c:pt>
                  <c:pt idx="6">
                    <c:v>25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38.125</c:v>
                  </c:pt>
                  <c:pt idx="11">
                    <c:v>16.25</c:v>
                  </c:pt>
                  <c:pt idx="12">
                    <c:v>2.9545454545454546</c:v>
                  </c:pt>
                  <c:pt idx="13">
                    <c:v>27.75</c:v>
                  </c:pt>
                  <c:pt idx="16">
                    <c:v>10</c:v>
                  </c:pt>
                  <c:pt idx="17">
                    <c:v>9.4444444444444446</c:v>
                  </c:pt>
                  <c:pt idx="18">
                    <c:v>5</c:v>
                  </c:pt>
                  <c:pt idx="19">
                    <c:v>4.15625</c:v>
                  </c:pt>
                  <c:pt idx="20">
                    <c:v>27.380000000000024</c:v>
                  </c:pt>
                  <c:pt idx="21">
                    <c:v>4.4444444444444446</c:v>
                  </c:pt>
                  <c:pt idx="22">
                    <c:v>24.450000000000003</c:v>
                  </c:pt>
                  <c:pt idx="23">
                    <c:v>6.75</c:v>
                  </c:pt>
                  <c:pt idx="24">
                    <c:v>7.5</c:v>
                  </c:pt>
                  <c:pt idx="25">
                    <c:v>10</c:v>
                  </c:pt>
                  <c:pt idx="26">
                    <c:v>17.5</c:v>
                  </c:pt>
                  <c:pt idx="27">
                    <c:v>17.5</c:v>
                  </c:pt>
                  <c:pt idx="28">
                    <c:v>27.5</c:v>
                  </c:pt>
                  <c:pt idx="29">
                    <c:v>32.178571428571431</c:v>
                  </c:pt>
                  <c:pt idx="30">
                    <c:v>14.166666666666666</c:v>
                  </c:pt>
                  <c:pt idx="33">
                    <c:v>27.5</c:v>
                  </c:pt>
                  <c:pt idx="34">
                    <c:v>25</c:v>
                  </c:pt>
                  <c:pt idx="35">
                    <c:v>7.5</c:v>
                  </c:pt>
                </c:numCache>
              </c:numRef>
            </c:plus>
            <c:minus>
              <c:numRef>
                <c:f>'RipplesSpacing-Litteratur'!$O$6:$O$63</c:f>
                <c:numCache>
                  <c:formatCode>General</c:formatCode>
                  <c:ptCount val="36"/>
                  <c:pt idx="0">
                    <c:v>20</c:v>
                  </c:pt>
                  <c:pt idx="1">
                    <c:v>25</c:v>
                  </c:pt>
                  <c:pt idx="2">
                    <c:v>4.921875</c:v>
                  </c:pt>
                  <c:pt idx="3">
                    <c:v>7.8571428571428568</c:v>
                  </c:pt>
                  <c:pt idx="4">
                    <c:v>5.3947368421052628</c:v>
                  </c:pt>
                  <c:pt idx="5">
                    <c:v>3.8157894736842106</c:v>
                  </c:pt>
                  <c:pt idx="6">
                    <c:v>25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38.125</c:v>
                  </c:pt>
                  <c:pt idx="11">
                    <c:v>16.25</c:v>
                  </c:pt>
                  <c:pt idx="12">
                    <c:v>2.9545454545454546</c:v>
                  </c:pt>
                  <c:pt idx="13">
                    <c:v>27.75</c:v>
                  </c:pt>
                  <c:pt idx="16">
                    <c:v>10</c:v>
                  </c:pt>
                  <c:pt idx="17">
                    <c:v>9.4444444444444446</c:v>
                  </c:pt>
                  <c:pt idx="18">
                    <c:v>5</c:v>
                  </c:pt>
                  <c:pt idx="19">
                    <c:v>4.15625</c:v>
                  </c:pt>
                  <c:pt idx="20">
                    <c:v>27.380000000000024</c:v>
                  </c:pt>
                  <c:pt idx="21">
                    <c:v>4.4444444444444446</c:v>
                  </c:pt>
                  <c:pt idx="22">
                    <c:v>24.450000000000003</c:v>
                  </c:pt>
                  <c:pt idx="23">
                    <c:v>6.75</c:v>
                  </c:pt>
                  <c:pt idx="24">
                    <c:v>7.5</c:v>
                  </c:pt>
                  <c:pt idx="25">
                    <c:v>10</c:v>
                  </c:pt>
                  <c:pt idx="26">
                    <c:v>17.5</c:v>
                  </c:pt>
                  <c:pt idx="27">
                    <c:v>17.5</c:v>
                  </c:pt>
                  <c:pt idx="28">
                    <c:v>27.5</c:v>
                  </c:pt>
                  <c:pt idx="29">
                    <c:v>32.178571428571431</c:v>
                  </c:pt>
                  <c:pt idx="30">
                    <c:v>14.166666666666666</c:v>
                  </c:pt>
                  <c:pt idx="33">
                    <c:v>27.5</c:v>
                  </c:pt>
                  <c:pt idx="34">
                    <c:v>25</c:v>
                  </c:pt>
                  <c:pt idx="35">
                    <c:v>7.5</c:v>
                  </c:pt>
                </c:numCache>
              </c:numRef>
            </c:minus>
          </c:errBars>
          <c:xVal>
            <c:numRef>
              <c:f>'RipplesSpacing-Litteratur'!$G$2:$G$64</c:f>
              <c:numCache>
                <c:formatCode>General</c:formatCode>
                <c:ptCount val="36"/>
                <c:pt idx="0">
                  <c:v>800</c:v>
                </c:pt>
                <c:pt idx="1">
                  <c:v>800</c:v>
                </c:pt>
                <c:pt idx="2">
                  <c:v>780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2100</c:v>
                </c:pt>
                <c:pt idx="8">
                  <c:v>1300</c:v>
                </c:pt>
                <c:pt idx="9">
                  <c:v>800</c:v>
                </c:pt>
                <c:pt idx="10">
                  <c:v>2100</c:v>
                </c:pt>
                <c:pt idx="11">
                  <c:v>795</c:v>
                </c:pt>
                <c:pt idx="12">
                  <c:v>795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795</c:v>
                </c:pt>
                <c:pt idx="18">
                  <c:v>1300</c:v>
                </c:pt>
                <c:pt idx="19">
                  <c:v>1250</c:v>
                </c:pt>
                <c:pt idx="20">
                  <c:v>800</c:v>
                </c:pt>
                <c:pt idx="21">
                  <c:v>780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775</c:v>
                </c:pt>
                <c:pt idx="26">
                  <c:v>775</c:v>
                </c:pt>
                <c:pt idx="27">
                  <c:v>775</c:v>
                </c:pt>
                <c:pt idx="28">
                  <c:v>775</c:v>
                </c:pt>
                <c:pt idx="29">
                  <c:v>1250</c:v>
                </c:pt>
                <c:pt idx="30">
                  <c:v>1250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800</c:v>
                </c:pt>
              </c:numCache>
            </c:numRef>
          </c:xVal>
          <c:yVal>
            <c:numRef>
              <c:f>'RipplesSpacing-Litteratur'!$C$2:$C$63</c:f>
              <c:numCache>
                <c:formatCode>0.00</c:formatCode>
                <c:ptCount val="36"/>
                <c:pt idx="0">
                  <c:v>770</c:v>
                </c:pt>
                <c:pt idx="1">
                  <c:v>700</c:v>
                </c:pt>
                <c:pt idx="2">
                  <c:v>685.78125</c:v>
                </c:pt>
                <c:pt idx="3">
                  <c:v>714.76190476190482</c:v>
                </c:pt>
                <c:pt idx="4">
                  <c:v>745.52631578947364</c:v>
                </c:pt>
                <c:pt idx="5">
                  <c:v>747.10526315789468</c:v>
                </c:pt>
                <c:pt idx="6">
                  <c:v>681</c:v>
                </c:pt>
                <c:pt idx="7">
                  <c:v>1600</c:v>
                </c:pt>
                <c:pt idx="8">
                  <c:v>1050</c:v>
                </c:pt>
                <c:pt idx="9">
                  <c:v>650</c:v>
                </c:pt>
                <c:pt idx="10">
                  <c:v>1738.75</c:v>
                </c:pt>
                <c:pt idx="11">
                  <c:v>550.83333333333337</c:v>
                </c:pt>
                <c:pt idx="12">
                  <c:v>585.90909090909088</c:v>
                </c:pt>
                <c:pt idx="13">
                  <c:v>595.5</c:v>
                </c:pt>
                <c:pt idx="14">
                  <c:v>157.06896551724137</c:v>
                </c:pt>
                <c:pt idx="15">
                  <c:v>136.33333333333334</c:v>
                </c:pt>
                <c:pt idx="16">
                  <c:v>590.76923076923072</c:v>
                </c:pt>
                <c:pt idx="17">
                  <c:v>700</c:v>
                </c:pt>
                <c:pt idx="18">
                  <c:v>829.44444444444446</c:v>
                </c:pt>
                <c:pt idx="19">
                  <c:v>307.625</c:v>
                </c:pt>
                <c:pt idx="20">
                  <c:v>575.55999999999995</c:v>
                </c:pt>
                <c:pt idx="21">
                  <c:v>561.11111111111109</c:v>
                </c:pt>
                <c:pt idx="22">
                  <c:v>560.6</c:v>
                </c:pt>
                <c:pt idx="23">
                  <c:v>613.5</c:v>
                </c:pt>
                <c:pt idx="24">
                  <c:v>205</c:v>
                </c:pt>
                <c:pt idx="25">
                  <c:v>680</c:v>
                </c:pt>
                <c:pt idx="26">
                  <c:v>685</c:v>
                </c:pt>
                <c:pt idx="27">
                  <c:v>725</c:v>
                </c:pt>
                <c:pt idx="28">
                  <c:v>725</c:v>
                </c:pt>
                <c:pt idx="29">
                  <c:v>1011.7857142857143</c:v>
                </c:pt>
                <c:pt idx="30">
                  <c:v>1033.8888888888889</c:v>
                </c:pt>
                <c:pt idx="31">
                  <c:v>200</c:v>
                </c:pt>
                <c:pt idx="32">
                  <c:v>500</c:v>
                </c:pt>
                <c:pt idx="33">
                  <c:v>745</c:v>
                </c:pt>
                <c:pt idx="34">
                  <c:v>660</c:v>
                </c:pt>
                <c:pt idx="35">
                  <c:v>205</c:v>
                </c:pt>
              </c:numCache>
            </c:numRef>
          </c:yVal>
        </c:ser>
        <c:ser>
          <c:idx val="1"/>
          <c:order val="1"/>
          <c:tx>
            <c:v>LP3</c:v>
          </c:tx>
          <c:spPr>
            <a:ln w="28575">
              <a:noFill/>
            </a:ln>
          </c:spPr>
          <c:marker>
            <c:symbol val="x"/>
            <c:size val="10"/>
          </c:marker>
          <c:errBars>
            <c:errDir val="y"/>
            <c:errBarType val="both"/>
            <c:errValType val="cust"/>
            <c:plus>
              <c:numRef>
                <c:f>'RipplesSpacing-LP3'!$F$2:$F$82</c:f>
                <c:numCache>
                  <c:formatCode>General</c:formatCode>
                  <c:ptCount val="79"/>
                  <c:pt idx="0">
                    <c:v>1.5833333333333323E-8</c:v>
                  </c:pt>
                  <c:pt idx="1">
                    <c:v>2.3999999999999983E-8</c:v>
                  </c:pt>
                  <c:pt idx="5">
                    <c:v>1.8055555555555569E-8</c:v>
                  </c:pt>
                  <c:pt idx="6">
                    <c:v>1.0625000000000004E-8</c:v>
                  </c:pt>
                  <c:pt idx="7">
                    <c:v>7.4999999999999993E-9</c:v>
                  </c:pt>
                  <c:pt idx="8">
                    <c:v>3.9999999999999988E-8</c:v>
                  </c:pt>
                  <c:pt idx="9">
                    <c:v>4.4444444444444252E-9</c:v>
                  </c:pt>
                  <c:pt idx="10">
                    <c:v>1.7499999999999991E-8</c:v>
                  </c:pt>
                  <c:pt idx="11">
                    <c:v>4.9999999999999943E-9</c:v>
                  </c:pt>
                  <c:pt idx="12">
                    <c:v>9.4444444444444485E-9</c:v>
                  </c:pt>
                  <c:pt idx="13">
                    <c:v>2.5624999999999993E-8</c:v>
                  </c:pt>
                  <c:pt idx="14">
                    <c:v>1.5833333333333359E-8</c:v>
                  </c:pt>
                  <c:pt idx="15">
                    <c:v>2.4000000000000003E-8</c:v>
                  </c:pt>
                  <c:pt idx="16">
                    <c:v>1.2083333333333359E-8</c:v>
                  </c:pt>
                  <c:pt idx="17">
                    <c:v>3.6538461538461514E-9</c:v>
                  </c:pt>
                  <c:pt idx="18">
                    <c:v>1.7500000000000018E-8</c:v>
                  </c:pt>
                  <c:pt idx="19">
                    <c:v>8.999999999999978E-9</c:v>
                  </c:pt>
                  <c:pt idx="20">
                    <c:v>5.2631578947368363E-9</c:v>
                  </c:pt>
                  <c:pt idx="21">
                    <c:v>2.6875000000000007E-8</c:v>
                  </c:pt>
                  <c:pt idx="22">
                    <c:v>8.9285714285714345E-9</c:v>
                  </c:pt>
                  <c:pt idx="23">
                    <c:v>8.8461538461538274E-9</c:v>
                  </c:pt>
                  <c:pt idx="24">
                    <c:v>6.6000000000000045E-9</c:v>
                  </c:pt>
                  <c:pt idx="25">
                    <c:v>1.7857142857142836E-8</c:v>
                  </c:pt>
                  <c:pt idx="26">
                    <c:v>4.6875000000000081E-9</c:v>
                  </c:pt>
                  <c:pt idx="27">
                    <c:v>6.4705882352941307E-9</c:v>
                  </c:pt>
                  <c:pt idx="28">
                    <c:v>7.1428571428571347E-9</c:v>
                  </c:pt>
                  <c:pt idx="29">
                    <c:v>9.1666666666666495E-9</c:v>
                  </c:pt>
                  <c:pt idx="30">
                    <c:v>1.6250000000000003E-8</c:v>
                  </c:pt>
                  <c:pt idx="31">
                    <c:v>4.5833333333333247E-9</c:v>
                  </c:pt>
                  <c:pt idx="32">
                    <c:v>1.6000000000000018E-8</c:v>
                  </c:pt>
                  <c:pt idx="33">
                    <c:v>8.5000000000000033E-9</c:v>
                  </c:pt>
                  <c:pt idx="34">
                    <c:v>9.0624999999999926E-9</c:v>
                  </c:pt>
                  <c:pt idx="35">
                    <c:v>1.5999999999999994E-8</c:v>
                  </c:pt>
                  <c:pt idx="36">
                    <c:v>5.2777777777777743E-9</c:v>
                  </c:pt>
                  <c:pt idx="37">
                    <c:v>3.7499999999999978E-8</c:v>
                  </c:pt>
                  <c:pt idx="38">
                    <c:v>9.4999999999999941E-9</c:v>
                  </c:pt>
                  <c:pt idx="39">
                    <c:v>3.1249999999999965E-9</c:v>
                  </c:pt>
                  <c:pt idx="40">
                    <c:v>3.3125E-8</c:v>
                  </c:pt>
                  <c:pt idx="41">
                    <c:v>1.4999999999999989E-8</c:v>
                  </c:pt>
                  <c:pt idx="42">
                    <c:v>3.076923076923077E-8</c:v>
                  </c:pt>
                  <c:pt idx="43">
                    <c:v>4.249999999999999E-8</c:v>
                  </c:pt>
                  <c:pt idx="44">
                    <c:v>6.6666666666666503E-9</c:v>
                  </c:pt>
                  <c:pt idx="45">
                    <c:v>3.8333333333333246E-9</c:v>
                  </c:pt>
                  <c:pt idx="46">
                    <c:v>8.4090909090909054E-9</c:v>
                  </c:pt>
                  <c:pt idx="47">
                    <c:v>1.7307692307692468E-9</c:v>
                  </c:pt>
                  <c:pt idx="48">
                    <c:v>6.9444444444444484E-9</c:v>
                  </c:pt>
                  <c:pt idx="49">
                    <c:v>1.0625000000000004E-8</c:v>
                  </c:pt>
                  <c:pt idx="50">
                    <c:v>4.9999999999999998E-8</c:v>
                  </c:pt>
                  <c:pt idx="51">
                    <c:v>2.291666666666666E-8</c:v>
                  </c:pt>
                  <c:pt idx="52">
                    <c:v>5.5000000000000003E-8</c:v>
                  </c:pt>
                  <c:pt idx="53">
                    <c:v>1.2500000000000001E-8</c:v>
                  </c:pt>
                  <c:pt idx="54">
                    <c:v>3.8333333333333352E-8</c:v>
                  </c:pt>
                  <c:pt idx="55">
                    <c:v>1.8333333333333335E-8</c:v>
                  </c:pt>
                  <c:pt idx="56">
                    <c:v>1.7500000000000008E-8</c:v>
                  </c:pt>
                  <c:pt idx="57">
                    <c:v>1.4999999999999989E-8</c:v>
                  </c:pt>
                  <c:pt idx="58">
                    <c:v>4.9999999999999998E-8</c:v>
                  </c:pt>
                  <c:pt idx="59">
                    <c:v>8.2352941176470547E-9</c:v>
                  </c:pt>
                  <c:pt idx="60">
                    <c:v>8.5294117647058762E-9</c:v>
                  </c:pt>
                  <c:pt idx="61">
                    <c:v>1.3750000000000017E-8</c:v>
                  </c:pt>
                  <c:pt idx="62">
                    <c:v>9.7916666666666435E-9</c:v>
                  </c:pt>
                  <c:pt idx="63">
                    <c:v>4.7916666666666558E-9</c:v>
                  </c:pt>
                  <c:pt idx="64">
                    <c:v>4.3750000000000003E-9</c:v>
                  </c:pt>
                  <c:pt idx="65">
                    <c:v>7.5000000000000076E-9</c:v>
                  </c:pt>
                  <c:pt idx="66">
                    <c:v>3.3333333333333483E-9</c:v>
                  </c:pt>
                  <c:pt idx="67">
                    <c:v>4.8076923076923101E-9</c:v>
                  </c:pt>
                  <c:pt idx="68">
                    <c:v>2.2000000000000127E-9</c:v>
                  </c:pt>
                  <c:pt idx="69">
                    <c:v>3.7500000000000012E-8</c:v>
                  </c:pt>
                  <c:pt idx="70">
                    <c:v>4.8214285714285554E-9</c:v>
                  </c:pt>
                  <c:pt idx="71">
                    <c:v>6.0999999999999926E-9</c:v>
                  </c:pt>
                  <c:pt idx="73">
                    <c:v>3.7500000000000012E-8</c:v>
                  </c:pt>
                  <c:pt idx="74">
                    <c:v>1.2187500000000016E-8</c:v>
                  </c:pt>
                  <c:pt idx="76">
                    <c:v>7.5000000000000076E-9</c:v>
                  </c:pt>
                  <c:pt idx="77">
                    <c:v>6.5000000000000013E-8</c:v>
                  </c:pt>
                  <c:pt idx="78">
                    <c:v>6.7499999999999989E-8</c:v>
                  </c:pt>
                </c:numCache>
              </c:numRef>
            </c:plus>
            <c:minus>
              <c:numRef>
                <c:f>'RipplesSpacing-LP3'!$F$2:$F$82</c:f>
                <c:numCache>
                  <c:formatCode>General</c:formatCode>
                  <c:ptCount val="79"/>
                  <c:pt idx="0">
                    <c:v>1.5833333333333323E-8</c:v>
                  </c:pt>
                  <c:pt idx="1">
                    <c:v>2.3999999999999983E-8</c:v>
                  </c:pt>
                  <c:pt idx="5">
                    <c:v>1.8055555555555569E-8</c:v>
                  </c:pt>
                  <c:pt idx="6">
                    <c:v>1.0625000000000004E-8</c:v>
                  </c:pt>
                  <c:pt idx="7">
                    <c:v>7.4999999999999993E-9</c:v>
                  </c:pt>
                  <c:pt idx="8">
                    <c:v>3.9999999999999988E-8</c:v>
                  </c:pt>
                  <c:pt idx="9">
                    <c:v>4.4444444444444252E-9</c:v>
                  </c:pt>
                  <c:pt idx="10">
                    <c:v>1.7499999999999991E-8</c:v>
                  </c:pt>
                  <c:pt idx="11">
                    <c:v>4.9999999999999943E-9</c:v>
                  </c:pt>
                  <c:pt idx="12">
                    <c:v>9.4444444444444485E-9</c:v>
                  </c:pt>
                  <c:pt idx="13">
                    <c:v>2.5624999999999993E-8</c:v>
                  </c:pt>
                  <c:pt idx="14">
                    <c:v>1.5833333333333359E-8</c:v>
                  </c:pt>
                  <c:pt idx="15">
                    <c:v>2.4000000000000003E-8</c:v>
                  </c:pt>
                  <c:pt idx="16">
                    <c:v>1.2083333333333359E-8</c:v>
                  </c:pt>
                  <c:pt idx="17">
                    <c:v>3.6538461538461514E-9</c:v>
                  </c:pt>
                  <c:pt idx="18">
                    <c:v>1.7500000000000018E-8</c:v>
                  </c:pt>
                  <c:pt idx="19">
                    <c:v>8.999999999999978E-9</c:v>
                  </c:pt>
                  <c:pt idx="20">
                    <c:v>5.2631578947368363E-9</c:v>
                  </c:pt>
                  <c:pt idx="21">
                    <c:v>2.6875000000000007E-8</c:v>
                  </c:pt>
                  <c:pt idx="22">
                    <c:v>8.9285714285714345E-9</c:v>
                  </c:pt>
                  <c:pt idx="23">
                    <c:v>8.8461538461538274E-9</c:v>
                  </c:pt>
                  <c:pt idx="24">
                    <c:v>6.6000000000000045E-9</c:v>
                  </c:pt>
                  <c:pt idx="25">
                    <c:v>1.7857142857142836E-8</c:v>
                  </c:pt>
                  <c:pt idx="26">
                    <c:v>4.6875000000000081E-9</c:v>
                  </c:pt>
                  <c:pt idx="27">
                    <c:v>6.4705882352941307E-9</c:v>
                  </c:pt>
                  <c:pt idx="28">
                    <c:v>7.1428571428571347E-9</c:v>
                  </c:pt>
                  <c:pt idx="29">
                    <c:v>9.1666666666666495E-9</c:v>
                  </c:pt>
                  <c:pt idx="30">
                    <c:v>1.6250000000000003E-8</c:v>
                  </c:pt>
                  <c:pt idx="31">
                    <c:v>4.5833333333333247E-9</c:v>
                  </c:pt>
                  <c:pt idx="32">
                    <c:v>1.6000000000000018E-8</c:v>
                  </c:pt>
                  <c:pt idx="33">
                    <c:v>8.5000000000000033E-9</c:v>
                  </c:pt>
                  <c:pt idx="34">
                    <c:v>9.0624999999999926E-9</c:v>
                  </c:pt>
                  <c:pt idx="35">
                    <c:v>1.5999999999999994E-8</c:v>
                  </c:pt>
                  <c:pt idx="36">
                    <c:v>5.2777777777777743E-9</c:v>
                  </c:pt>
                  <c:pt idx="37">
                    <c:v>3.7499999999999978E-8</c:v>
                  </c:pt>
                  <c:pt idx="38">
                    <c:v>9.4999999999999941E-9</c:v>
                  </c:pt>
                  <c:pt idx="39">
                    <c:v>3.1249999999999965E-9</c:v>
                  </c:pt>
                  <c:pt idx="40">
                    <c:v>3.3125E-8</c:v>
                  </c:pt>
                  <c:pt idx="41">
                    <c:v>1.4999999999999989E-8</c:v>
                  </c:pt>
                  <c:pt idx="42">
                    <c:v>3.076923076923077E-8</c:v>
                  </c:pt>
                  <c:pt idx="43">
                    <c:v>4.249999999999999E-8</c:v>
                  </c:pt>
                  <c:pt idx="44">
                    <c:v>6.6666666666666503E-9</c:v>
                  </c:pt>
                  <c:pt idx="45">
                    <c:v>3.8333333333333246E-9</c:v>
                  </c:pt>
                  <c:pt idx="46">
                    <c:v>8.4090909090909054E-9</c:v>
                  </c:pt>
                  <c:pt idx="47">
                    <c:v>1.7307692307692468E-9</c:v>
                  </c:pt>
                  <c:pt idx="48">
                    <c:v>6.9444444444444484E-9</c:v>
                  </c:pt>
                  <c:pt idx="49">
                    <c:v>1.0625000000000004E-8</c:v>
                  </c:pt>
                  <c:pt idx="50">
                    <c:v>4.9999999999999998E-8</c:v>
                  </c:pt>
                  <c:pt idx="51">
                    <c:v>2.291666666666666E-8</c:v>
                  </c:pt>
                  <c:pt idx="52">
                    <c:v>5.5000000000000003E-8</c:v>
                  </c:pt>
                  <c:pt idx="53">
                    <c:v>1.2500000000000001E-8</c:v>
                  </c:pt>
                  <c:pt idx="54">
                    <c:v>3.8333333333333352E-8</c:v>
                  </c:pt>
                  <c:pt idx="55">
                    <c:v>1.8333333333333335E-8</c:v>
                  </c:pt>
                  <c:pt idx="56">
                    <c:v>1.7500000000000008E-8</c:v>
                  </c:pt>
                  <c:pt idx="57">
                    <c:v>1.4999999999999989E-8</c:v>
                  </c:pt>
                  <c:pt idx="58">
                    <c:v>4.9999999999999998E-8</c:v>
                  </c:pt>
                  <c:pt idx="59">
                    <c:v>8.2352941176470547E-9</c:v>
                  </c:pt>
                  <c:pt idx="60">
                    <c:v>8.5294117647058762E-9</c:v>
                  </c:pt>
                  <c:pt idx="61">
                    <c:v>1.3750000000000017E-8</c:v>
                  </c:pt>
                  <c:pt idx="62">
                    <c:v>9.7916666666666435E-9</c:v>
                  </c:pt>
                  <c:pt idx="63">
                    <c:v>4.7916666666666558E-9</c:v>
                  </c:pt>
                  <c:pt idx="64">
                    <c:v>4.3750000000000003E-9</c:v>
                  </c:pt>
                  <c:pt idx="65">
                    <c:v>7.5000000000000076E-9</c:v>
                  </c:pt>
                  <c:pt idx="66">
                    <c:v>3.3333333333333483E-9</c:v>
                  </c:pt>
                  <c:pt idx="67">
                    <c:v>4.8076923076923101E-9</c:v>
                  </c:pt>
                  <c:pt idx="68">
                    <c:v>2.2000000000000127E-9</c:v>
                  </c:pt>
                  <c:pt idx="69">
                    <c:v>3.7500000000000012E-8</c:v>
                  </c:pt>
                  <c:pt idx="70">
                    <c:v>4.8214285714285554E-9</c:v>
                  </c:pt>
                  <c:pt idx="71">
                    <c:v>6.0999999999999926E-9</c:v>
                  </c:pt>
                  <c:pt idx="73">
                    <c:v>3.7500000000000012E-8</c:v>
                  </c:pt>
                  <c:pt idx="74">
                    <c:v>1.2187500000000016E-8</c:v>
                  </c:pt>
                  <c:pt idx="76">
                    <c:v>7.5000000000000076E-9</c:v>
                  </c:pt>
                  <c:pt idx="77">
                    <c:v>6.5000000000000013E-8</c:v>
                  </c:pt>
                  <c:pt idx="78">
                    <c:v>6.7499999999999989E-8</c:v>
                  </c:pt>
                </c:numCache>
              </c:numRef>
            </c:minus>
          </c:errBars>
          <c:xVal>
            <c:numRef>
              <c:f>'RipplesSpacing-LP3'!$J$2:$J$82</c:f>
              <c:numCache>
                <c:formatCode>0.00E+00</c:formatCode>
                <c:ptCount val="79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800</c:v>
                </c:pt>
                <c:pt idx="36">
                  <c:v>800</c:v>
                </c:pt>
                <c:pt idx="37">
                  <c:v>800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800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800</c:v>
                </c:pt>
                <c:pt idx="58">
                  <c:v>800</c:v>
                </c:pt>
                <c:pt idx="59">
                  <c:v>800</c:v>
                </c:pt>
                <c:pt idx="60">
                  <c:v>800</c:v>
                </c:pt>
                <c:pt idx="61">
                  <c:v>800</c:v>
                </c:pt>
                <c:pt idx="62">
                  <c:v>800</c:v>
                </c:pt>
                <c:pt idx="63">
                  <c:v>800</c:v>
                </c:pt>
                <c:pt idx="64">
                  <c:v>800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800</c:v>
                </c:pt>
                <c:pt idx="70">
                  <c:v>800</c:v>
                </c:pt>
                <c:pt idx="71">
                  <c:v>800</c:v>
                </c:pt>
                <c:pt idx="72">
                  <c:v>800</c:v>
                </c:pt>
                <c:pt idx="73">
                  <c:v>800</c:v>
                </c:pt>
                <c:pt idx="74">
                  <c:v>800</c:v>
                </c:pt>
                <c:pt idx="75">
                  <c:v>800</c:v>
                </c:pt>
                <c:pt idx="76">
                  <c:v>800</c:v>
                </c:pt>
                <c:pt idx="77">
                  <c:v>1300</c:v>
                </c:pt>
                <c:pt idx="78">
                  <c:v>1300</c:v>
                </c:pt>
              </c:numCache>
            </c:numRef>
          </c:xVal>
          <c:yVal>
            <c:numRef>
              <c:f>'RipplesSpacing-LP3'!$C$2:$C$82</c:f>
              <c:numCache>
                <c:formatCode>General</c:formatCode>
                <c:ptCount val="79"/>
                <c:pt idx="0">
                  <c:v>806.66666666666674</c:v>
                </c:pt>
                <c:pt idx="1">
                  <c:v>823.99999999999989</c:v>
                </c:pt>
                <c:pt idx="2">
                  <c:v>755.71428571428567</c:v>
                </c:pt>
                <c:pt idx="3">
                  <c:v>703.75</c:v>
                </c:pt>
                <c:pt idx="4">
                  <c:v>755.55555555555566</c:v>
                </c:pt>
                <c:pt idx="5">
                  <c:v>757.22222222222229</c:v>
                </c:pt>
                <c:pt idx="6">
                  <c:v>727.91666666666663</c:v>
                </c:pt>
                <c:pt idx="7">
                  <c:v>770.41666666666663</c:v>
                </c:pt>
                <c:pt idx="8">
                  <c:v>720</c:v>
                </c:pt>
                <c:pt idx="9">
                  <c:v>792.22222222222217</c:v>
                </c:pt>
                <c:pt idx="10">
                  <c:v>810</c:v>
                </c:pt>
                <c:pt idx="11">
                  <c:v>801.50000000000011</c:v>
                </c:pt>
                <c:pt idx="12">
                  <c:v>751.11111111111109</c:v>
                </c:pt>
                <c:pt idx="13">
                  <c:v>703.75</c:v>
                </c:pt>
                <c:pt idx="14">
                  <c:v>848.33333333333337</c:v>
                </c:pt>
                <c:pt idx="15">
                  <c:v>731.99999999999989</c:v>
                </c:pt>
                <c:pt idx="16">
                  <c:v>706.66666666666663</c:v>
                </c:pt>
                <c:pt idx="17">
                  <c:v>785</c:v>
                </c:pt>
                <c:pt idx="18">
                  <c:v>733.75</c:v>
                </c:pt>
                <c:pt idx="19">
                  <c:v>749.99999999999989</c:v>
                </c:pt>
                <c:pt idx="20">
                  <c:v>755.78947368421052</c:v>
                </c:pt>
                <c:pt idx="21">
                  <c:v>676.25</c:v>
                </c:pt>
                <c:pt idx="22">
                  <c:v>689.28571428571433</c:v>
                </c:pt>
                <c:pt idx="23">
                  <c:v>763.84615384615381</c:v>
                </c:pt>
                <c:pt idx="24">
                  <c:v>802</c:v>
                </c:pt>
                <c:pt idx="25">
                  <c:v>741.42857142857133</c:v>
                </c:pt>
                <c:pt idx="26">
                  <c:v>795</c:v>
                </c:pt>
                <c:pt idx="27">
                  <c:v>752.35294117647072</c:v>
                </c:pt>
                <c:pt idx="28">
                  <c:v>757.14285714285711</c:v>
                </c:pt>
                <c:pt idx="29">
                  <c:v>734.16666666666674</c:v>
                </c:pt>
                <c:pt idx="30">
                  <c:v>715</c:v>
                </c:pt>
                <c:pt idx="31">
                  <c:v>645.83333333333326</c:v>
                </c:pt>
                <c:pt idx="32">
                  <c:v>792</c:v>
                </c:pt>
                <c:pt idx="33">
                  <c:v>821.99999999999989</c:v>
                </c:pt>
                <c:pt idx="34">
                  <c:v>800.62500000000011</c:v>
                </c:pt>
                <c:pt idx="35">
                  <c:v>781</c:v>
                </c:pt>
                <c:pt idx="36">
                  <c:v>723.88888888888891</c:v>
                </c:pt>
                <c:pt idx="37">
                  <c:v>817</c:v>
                </c:pt>
                <c:pt idx="38">
                  <c:v>715</c:v>
                </c:pt>
                <c:pt idx="39">
                  <c:v>783.74999999999989</c:v>
                </c:pt>
                <c:pt idx="40">
                  <c:v>826.25</c:v>
                </c:pt>
                <c:pt idx="41">
                  <c:v>800</c:v>
                </c:pt>
                <c:pt idx="42">
                  <c:v>723.84615384615381</c:v>
                </c:pt>
                <c:pt idx="43">
                  <c:v>735</c:v>
                </c:pt>
                <c:pt idx="44">
                  <c:v>736.66666666666663</c:v>
                </c:pt>
                <c:pt idx="45">
                  <c:v>750.33333333333337</c:v>
                </c:pt>
                <c:pt idx="46">
                  <c:v>745.90909090909088</c:v>
                </c:pt>
                <c:pt idx="47">
                  <c:v>763.84615384615381</c:v>
                </c:pt>
                <c:pt idx="48">
                  <c:v>795</c:v>
                </c:pt>
                <c:pt idx="49">
                  <c:v>804.58333333333326</c:v>
                </c:pt>
                <c:pt idx="50">
                  <c:v>710</c:v>
                </c:pt>
                <c:pt idx="51">
                  <c:v>783.33333333333326</c:v>
                </c:pt>
                <c:pt idx="52">
                  <c:v>740</c:v>
                </c:pt>
                <c:pt idx="53">
                  <c:v>699.28571428571422</c:v>
                </c:pt>
                <c:pt idx="54">
                  <c:v>743.33333333333326</c:v>
                </c:pt>
                <c:pt idx="55">
                  <c:v>725.00000000000011</c:v>
                </c:pt>
                <c:pt idx="56">
                  <c:v>703.33333333333337</c:v>
                </c:pt>
                <c:pt idx="57">
                  <c:v>768.75</c:v>
                </c:pt>
                <c:pt idx="58">
                  <c:v>715</c:v>
                </c:pt>
                <c:pt idx="59">
                  <c:v>755.29411764705878</c:v>
                </c:pt>
                <c:pt idx="60">
                  <c:v>740.58823529411768</c:v>
                </c:pt>
                <c:pt idx="61">
                  <c:v>748.5</c:v>
                </c:pt>
                <c:pt idx="62">
                  <c:v>737.91666666666652</c:v>
                </c:pt>
                <c:pt idx="63">
                  <c:v>682.49999999999989</c:v>
                </c:pt>
                <c:pt idx="64">
                  <c:v>738.24999999999989</c:v>
                </c:pt>
                <c:pt idx="65">
                  <c:v>714.99999999999989</c:v>
                </c:pt>
                <c:pt idx="66">
                  <c:v>727.22222222222217</c:v>
                </c:pt>
                <c:pt idx="67">
                  <c:v>694.99999999999989</c:v>
                </c:pt>
                <c:pt idx="68">
                  <c:v>712.40000000000009</c:v>
                </c:pt>
                <c:pt idx="69">
                  <c:v>675</c:v>
                </c:pt>
                <c:pt idx="70">
                  <c:v>552.5</c:v>
                </c:pt>
                <c:pt idx="71">
                  <c:v>699.4</c:v>
                </c:pt>
                <c:pt idx="72">
                  <c:v>601.53846153846155</c:v>
                </c:pt>
                <c:pt idx="73">
                  <c:v>665</c:v>
                </c:pt>
                <c:pt idx="74">
                  <c:v>548.12499999999989</c:v>
                </c:pt>
                <c:pt idx="75">
                  <c:v>574.75000000000011</c:v>
                </c:pt>
                <c:pt idx="76" formatCode="0.00E+00">
                  <c:v>694.99999999999989</c:v>
                </c:pt>
                <c:pt idx="77">
                  <c:v>695</c:v>
                </c:pt>
                <c:pt idx="78">
                  <c:v>824.99999999999989</c:v>
                </c:pt>
              </c:numCache>
            </c:numRef>
          </c:yVal>
        </c:ser>
        <c:axId val="102490880"/>
        <c:axId val="102493184"/>
      </c:scatterChart>
      <c:valAx>
        <c:axId val="102490880"/>
        <c:scaling>
          <c:orientation val="minMax"/>
        </c:scaling>
        <c:axPos val="b"/>
        <c:minorGridlines>
          <c:spPr>
            <a:ln>
              <a:solidFill>
                <a:sysClr val="windowText" lastClr="000000">
                  <a:alpha val="17000"/>
                </a:sys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fr-FR" sz="1600"/>
                  <a:t>Longueur d'onde [nm]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>
              <a:defRPr sz="1600"/>
            </a:pPr>
            <a:endParaRPr lang="fr-FR"/>
          </a:p>
        </c:txPr>
        <c:crossAx val="102493184"/>
        <c:crosses val="autoZero"/>
        <c:crossBetween val="midCat"/>
      </c:valAx>
      <c:valAx>
        <c:axId val="102493184"/>
        <c:scaling>
          <c:orientation val="minMax"/>
        </c:scaling>
        <c:axPos val="l"/>
        <c:majorGridlines>
          <c:spPr>
            <a:ln>
              <a:solidFill>
                <a:sysClr val="windowText" lastClr="000000">
                  <a:alpha val="25000"/>
                </a:sys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fr-FR" sz="1600"/>
                  <a:t>Période [nm]</a:t>
                </a:r>
              </a:p>
            </c:rich>
          </c:tx>
          <c:layout/>
        </c:title>
        <c:numFmt formatCode="0.00" sourceLinked="1"/>
        <c:majorTickMark val="none"/>
        <c:tickLblPos val="nextTo"/>
        <c:txPr>
          <a:bodyPr/>
          <a:lstStyle/>
          <a:p>
            <a:pPr>
              <a:defRPr sz="1600"/>
            </a:pPr>
            <a:endParaRPr lang="fr-FR"/>
          </a:p>
        </c:txPr>
        <c:crossAx val="102490880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600"/>
          </a:pPr>
          <a:endParaRPr lang="fr-FR"/>
        </a:p>
      </c:txPr>
    </c:legend>
    <c:plotVisOnly val="1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scatterChart>
        <c:scatterStyle val="lineMarker"/>
        <c:ser>
          <c:idx val="0"/>
          <c:order val="0"/>
          <c:tx>
            <c:v>LP3</c:v>
          </c:tx>
          <c:spPr>
            <a:ln w="28575">
              <a:noFill/>
            </a:ln>
          </c:spPr>
          <c:marker>
            <c:symbol val="plus"/>
            <c:size val="11"/>
          </c:marker>
          <c:errBars>
            <c:errDir val="y"/>
            <c:errBarType val="both"/>
            <c:errValType val="cust"/>
            <c:plus>
              <c:numRef>
                <c:f>'RipplesSpacing-LP3'!$H$2:$H$82</c:f>
                <c:numCache>
                  <c:formatCode>General</c:formatCode>
                  <c:ptCount val="79"/>
                  <c:pt idx="0">
                    <c:v>1.9628099173553706E-2</c:v>
                  </c:pt>
                  <c:pt idx="1">
                    <c:v>2.9126213592232993E-2</c:v>
                  </c:pt>
                  <c:pt idx="5">
                    <c:v>2.3844460748349249E-2</c:v>
                  </c:pt>
                  <c:pt idx="6">
                    <c:v>1.459645105895822E-2</c:v>
                  </c:pt>
                  <c:pt idx="7">
                    <c:v>9.7349918875067592E-3</c:v>
                  </c:pt>
                  <c:pt idx="8">
                    <c:v>5.5555555555555539E-2</c:v>
                  </c:pt>
                  <c:pt idx="9">
                    <c:v>5.6100981767180681E-3</c:v>
                  </c:pt>
                  <c:pt idx="10">
                    <c:v>2.1604938271604927E-2</c:v>
                  </c:pt>
                  <c:pt idx="11">
                    <c:v>6.2383031815346152E-3</c:v>
                  </c:pt>
                  <c:pt idx="12">
                    <c:v>1.2573964497041425E-2</c:v>
                  </c:pt>
                  <c:pt idx="13">
                    <c:v>3.6412078152753095E-2</c:v>
                  </c:pt>
                  <c:pt idx="14">
                    <c:v>1.8664047151277043E-2</c:v>
                  </c:pt>
                  <c:pt idx="15">
                    <c:v>3.2786885245901648E-2</c:v>
                  </c:pt>
                  <c:pt idx="16">
                    <c:v>1.7099056603773623E-2</c:v>
                  </c:pt>
                  <c:pt idx="17">
                    <c:v>4.6545810877021039E-3</c:v>
                  </c:pt>
                  <c:pt idx="18">
                    <c:v>2.3850085178875664E-2</c:v>
                  </c:pt>
                  <c:pt idx="19">
                    <c:v>1.1999999999999972E-2</c:v>
                  </c:pt>
                  <c:pt idx="20">
                    <c:v>6.9637883008356466E-3</c:v>
                  </c:pt>
                  <c:pt idx="21">
                    <c:v>3.9741219963031434E-2</c:v>
                  </c:pt>
                  <c:pt idx="22">
                    <c:v>1.2953367875647676E-2</c:v>
                  </c:pt>
                  <c:pt idx="23">
                    <c:v>1.1581067472306118E-2</c:v>
                  </c:pt>
                  <c:pt idx="24">
                    <c:v>8.2294264339152177E-3</c:v>
                  </c:pt>
                  <c:pt idx="25">
                    <c:v>2.4084778420038509E-2</c:v>
                  </c:pt>
                  <c:pt idx="26">
                    <c:v>5.8962264150943496E-3</c:v>
                  </c:pt>
                  <c:pt idx="27">
                    <c:v>8.60046911649728E-3</c:v>
                  </c:pt>
                  <c:pt idx="28">
                    <c:v>9.4339622641509326E-3</c:v>
                  </c:pt>
                  <c:pt idx="29">
                    <c:v>1.2485811577752529E-2</c:v>
                  </c:pt>
                  <c:pt idx="30">
                    <c:v>2.2727272727272731E-2</c:v>
                  </c:pt>
                  <c:pt idx="31">
                    <c:v>7.0967741935483754E-3</c:v>
                  </c:pt>
                  <c:pt idx="32">
                    <c:v>2.0202020202020225E-2</c:v>
                  </c:pt>
                  <c:pt idx="33">
                    <c:v>1.0340632603406331E-2</c:v>
                  </c:pt>
                  <c:pt idx="34">
                    <c:v>1.131928181108508E-2</c:v>
                  </c:pt>
                  <c:pt idx="35">
                    <c:v>2.0486555697823296E-2</c:v>
                  </c:pt>
                  <c:pt idx="36">
                    <c:v>7.2908672294704473E-3</c:v>
                  </c:pt>
                  <c:pt idx="37">
                    <c:v>4.5899632802937552E-2</c:v>
                  </c:pt>
                  <c:pt idx="38">
                    <c:v>1.3286713286713278E-2</c:v>
                  </c:pt>
                  <c:pt idx="39">
                    <c:v>3.9872408293460887E-3</c:v>
                  </c:pt>
                  <c:pt idx="40">
                    <c:v>4.0090771558245079E-2</c:v>
                  </c:pt>
                  <c:pt idx="41">
                    <c:v>1.8749999999999985E-2</c:v>
                  </c:pt>
                  <c:pt idx="42">
                    <c:v>4.250797024442083E-2</c:v>
                  </c:pt>
                  <c:pt idx="43">
                    <c:v>5.7823129251700668E-2</c:v>
                  </c:pt>
                  <c:pt idx="44">
                    <c:v>9.0497737556560869E-3</c:v>
                  </c:pt>
                  <c:pt idx="45">
                    <c:v>5.1088405153265097E-3</c:v>
                  </c:pt>
                  <c:pt idx="46">
                    <c:v>1.1273613650213281E-2</c:v>
                  </c:pt>
                  <c:pt idx="47">
                    <c:v>2.2658610271903534E-3</c:v>
                  </c:pt>
                  <c:pt idx="48">
                    <c:v>8.7351502445842111E-3</c:v>
                  </c:pt>
                  <c:pt idx="49">
                    <c:v>1.3205592957017096E-2</c:v>
                  </c:pt>
                  <c:pt idx="50">
                    <c:v>7.0422535211267609E-2</c:v>
                  </c:pt>
                  <c:pt idx="51">
                    <c:v>2.9255319148936164E-2</c:v>
                  </c:pt>
                  <c:pt idx="52">
                    <c:v>7.4324324324324328E-2</c:v>
                  </c:pt>
                  <c:pt idx="53">
                    <c:v>1.7875383043922371E-2</c:v>
                  </c:pt>
                  <c:pt idx="54">
                    <c:v>5.156950672645743E-2</c:v>
                  </c:pt>
                  <c:pt idx="55">
                    <c:v>2.5287356321839077E-2</c:v>
                  </c:pt>
                  <c:pt idx="56">
                    <c:v>2.4881516587677732E-2</c:v>
                  </c:pt>
                  <c:pt idx="57">
                    <c:v>1.9512195121951202E-2</c:v>
                  </c:pt>
                  <c:pt idx="58">
                    <c:v>6.9930069930069921E-2</c:v>
                  </c:pt>
                  <c:pt idx="59">
                    <c:v>1.0903426791277255E-2</c:v>
                  </c:pt>
                  <c:pt idx="60">
                    <c:v>1.1517077045274019E-2</c:v>
                  </c:pt>
                  <c:pt idx="61">
                    <c:v>1.8370073480293944E-2</c:v>
                  </c:pt>
                  <c:pt idx="62">
                    <c:v>1.3269339356295849E-2</c:v>
                  </c:pt>
                  <c:pt idx="63">
                    <c:v>7.0207570207570054E-3</c:v>
                  </c:pt>
                  <c:pt idx="64">
                    <c:v>5.9261767693870654E-3</c:v>
                  </c:pt>
                  <c:pt idx="65">
                    <c:v>1.04895104895105E-2</c:v>
                  </c:pt>
                  <c:pt idx="66">
                    <c:v>4.5836516424751922E-3</c:v>
                  </c:pt>
                  <c:pt idx="67">
                    <c:v>6.9175428887659146E-3</c:v>
                  </c:pt>
                  <c:pt idx="68">
                    <c:v>3.0881527231892371E-3</c:v>
                  </c:pt>
                  <c:pt idx="69">
                    <c:v>5.5555555555555573E-2</c:v>
                  </c:pt>
                  <c:pt idx="70">
                    <c:v>8.7265675500969326E-3</c:v>
                  </c:pt>
                  <c:pt idx="71">
                    <c:v>8.7217615098655887E-3</c:v>
                  </c:pt>
                  <c:pt idx="73">
                    <c:v>5.639097744360904E-2</c:v>
                  </c:pt>
                  <c:pt idx="74">
                    <c:v>2.2234891676168787E-2</c:v>
                  </c:pt>
                  <c:pt idx="76">
                    <c:v>1.0791366906474833E-2</c:v>
                  </c:pt>
                  <c:pt idx="77">
                    <c:v>9.3525179856115123E-2</c:v>
                  </c:pt>
                  <c:pt idx="78">
                    <c:v>8.1818181818181818E-2</c:v>
                  </c:pt>
                </c:numCache>
              </c:numRef>
            </c:plus>
            <c:minus>
              <c:numRef>
                <c:f>'RipplesSpacing-LP3'!$G$2:$G$82</c:f>
                <c:numCache>
                  <c:formatCode>General</c:formatCode>
                  <c:ptCount val="79"/>
                  <c:pt idx="0">
                    <c:v>3.9256198347107411E-2</c:v>
                  </c:pt>
                  <c:pt idx="1">
                    <c:v>5.8252427184465987E-2</c:v>
                  </c:pt>
                  <c:pt idx="2">
                    <c:v>5.2930056710775025E-2</c:v>
                  </c:pt>
                  <c:pt idx="3">
                    <c:v>6.3943161634103005E-2</c:v>
                  </c:pt>
                  <c:pt idx="4">
                    <c:v>5.0000000000000017E-2</c:v>
                  </c:pt>
                  <c:pt idx="5">
                    <c:v>4.7688921496698497E-2</c:v>
                  </c:pt>
                  <c:pt idx="6">
                    <c:v>2.919290211791644E-2</c:v>
                  </c:pt>
                  <c:pt idx="7">
                    <c:v>1.9469983775013518E-2</c:v>
                  </c:pt>
                  <c:pt idx="8">
                    <c:v>0.11111111111111108</c:v>
                  </c:pt>
                  <c:pt idx="9">
                    <c:v>1.1220196353436136E-2</c:v>
                  </c:pt>
                  <c:pt idx="10">
                    <c:v>4.3209876543209853E-2</c:v>
                  </c:pt>
                  <c:pt idx="11">
                    <c:v>1.247660636306923E-2</c:v>
                  </c:pt>
                  <c:pt idx="12">
                    <c:v>2.5147928994082851E-2</c:v>
                  </c:pt>
                  <c:pt idx="13">
                    <c:v>7.2824156305506191E-2</c:v>
                  </c:pt>
                  <c:pt idx="14">
                    <c:v>3.7328094302554085E-2</c:v>
                  </c:pt>
                  <c:pt idx="15">
                    <c:v>6.5573770491803296E-2</c:v>
                  </c:pt>
                  <c:pt idx="16">
                    <c:v>3.4198113207547245E-2</c:v>
                  </c:pt>
                  <c:pt idx="17">
                    <c:v>9.3091621754042078E-3</c:v>
                  </c:pt>
                  <c:pt idx="18">
                    <c:v>4.7700170357751329E-2</c:v>
                  </c:pt>
                  <c:pt idx="19">
                    <c:v>2.3999999999999945E-2</c:v>
                  </c:pt>
                  <c:pt idx="20">
                    <c:v>1.3927576601671293E-2</c:v>
                  </c:pt>
                  <c:pt idx="21">
                    <c:v>7.9482439926062867E-2</c:v>
                  </c:pt>
                  <c:pt idx="22">
                    <c:v>2.5906735751295352E-2</c:v>
                  </c:pt>
                  <c:pt idx="23">
                    <c:v>2.3162134944612237E-2</c:v>
                  </c:pt>
                  <c:pt idx="24">
                    <c:v>1.6458852867830435E-2</c:v>
                  </c:pt>
                  <c:pt idx="25">
                    <c:v>4.8169556840077017E-2</c:v>
                  </c:pt>
                  <c:pt idx="26">
                    <c:v>1.1792452830188699E-2</c:v>
                  </c:pt>
                  <c:pt idx="27">
                    <c:v>1.720093823299456E-2</c:v>
                  </c:pt>
                  <c:pt idx="28">
                    <c:v>1.8867924528301865E-2</c:v>
                  </c:pt>
                  <c:pt idx="29">
                    <c:v>2.4971623155505059E-2</c:v>
                  </c:pt>
                  <c:pt idx="30">
                    <c:v>4.5454545454545463E-2</c:v>
                  </c:pt>
                  <c:pt idx="31">
                    <c:v>1.4193548387096751E-2</c:v>
                  </c:pt>
                  <c:pt idx="32">
                    <c:v>4.0404040404040449E-2</c:v>
                  </c:pt>
                  <c:pt idx="33">
                    <c:v>2.0681265206812662E-2</c:v>
                  </c:pt>
                  <c:pt idx="34">
                    <c:v>2.263856362217016E-2</c:v>
                  </c:pt>
                  <c:pt idx="35">
                    <c:v>4.0973111395646591E-2</c:v>
                  </c:pt>
                  <c:pt idx="36">
                    <c:v>1.4581734458940895E-2</c:v>
                  </c:pt>
                  <c:pt idx="37">
                    <c:v>9.1799265605875105E-2</c:v>
                  </c:pt>
                  <c:pt idx="38">
                    <c:v>2.6573426573426557E-2</c:v>
                  </c:pt>
                  <c:pt idx="39">
                    <c:v>7.9744816586921775E-3</c:v>
                  </c:pt>
                  <c:pt idx="40">
                    <c:v>8.0181543116490159E-2</c:v>
                  </c:pt>
                  <c:pt idx="41">
                    <c:v>3.7499999999999971E-2</c:v>
                  </c:pt>
                  <c:pt idx="42">
                    <c:v>8.501594048884166E-2</c:v>
                  </c:pt>
                  <c:pt idx="43">
                    <c:v>0.11564625850340134</c:v>
                  </c:pt>
                  <c:pt idx="44">
                    <c:v>1.8099547511312174E-2</c:v>
                  </c:pt>
                  <c:pt idx="45">
                    <c:v>1.0217681030653019E-2</c:v>
                  </c:pt>
                  <c:pt idx="46">
                    <c:v>2.2547227300426562E-2</c:v>
                  </c:pt>
                  <c:pt idx="47">
                    <c:v>4.5317220543807067E-3</c:v>
                  </c:pt>
                  <c:pt idx="48">
                    <c:v>1.7470300489168422E-2</c:v>
                  </c:pt>
                  <c:pt idx="49">
                    <c:v>2.6411185914034192E-2</c:v>
                  </c:pt>
                  <c:pt idx="50">
                    <c:v>0.14084507042253522</c:v>
                  </c:pt>
                  <c:pt idx="51">
                    <c:v>5.8510638297872328E-2</c:v>
                  </c:pt>
                  <c:pt idx="52">
                    <c:v>0.14864864864864866</c:v>
                  </c:pt>
                  <c:pt idx="53">
                    <c:v>3.5750766087844742E-2</c:v>
                  </c:pt>
                  <c:pt idx="54">
                    <c:v>0.10313901345291486</c:v>
                  </c:pt>
                  <c:pt idx="55">
                    <c:v>5.0574712643678153E-2</c:v>
                  </c:pt>
                  <c:pt idx="56">
                    <c:v>4.9763033175355464E-2</c:v>
                  </c:pt>
                  <c:pt idx="57">
                    <c:v>3.9024390243902404E-2</c:v>
                  </c:pt>
                  <c:pt idx="58">
                    <c:v>0.13986013986013984</c:v>
                  </c:pt>
                  <c:pt idx="59">
                    <c:v>2.1806853582554509E-2</c:v>
                  </c:pt>
                  <c:pt idx="60">
                    <c:v>2.3034154090548039E-2</c:v>
                  </c:pt>
                  <c:pt idx="61">
                    <c:v>3.6740146960587888E-2</c:v>
                  </c:pt>
                  <c:pt idx="62">
                    <c:v>2.6538678712591697E-2</c:v>
                  </c:pt>
                  <c:pt idx="63">
                    <c:v>1.4041514041514011E-2</c:v>
                  </c:pt>
                  <c:pt idx="64">
                    <c:v>1.1852353538774131E-2</c:v>
                  </c:pt>
                  <c:pt idx="65">
                    <c:v>2.0979020979021001E-2</c:v>
                  </c:pt>
                  <c:pt idx="66">
                    <c:v>9.1673032849503844E-3</c:v>
                  </c:pt>
                  <c:pt idx="67">
                    <c:v>1.3835085777531829E-2</c:v>
                  </c:pt>
                  <c:pt idx="68">
                    <c:v>6.1763054463784741E-3</c:v>
                  </c:pt>
                  <c:pt idx="69">
                    <c:v>0.11111111111111115</c:v>
                  </c:pt>
                  <c:pt idx="70">
                    <c:v>1.7453135100193865E-2</c:v>
                  </c:pt>
                  <c:pt idx="71">
                    <c:v>1.7443523019731177E-2</c:v>
                  </c:pt>
                  <c:pt idx="72">
                    <c:v>2.0460358056266004E-2</c:v>
                  </c:pt>
                  <c:pt idx="73">
                    <c:v>0.11278195488721808</c:v>
                  </c:pt>
                  <c:pt idx="74">
                    <c:v>4.4469783352337575E-2</c:v>
                  </c:pt>
                  <c:pt idx="75">
                    <c:v>1.3484123531970437E-2</c:v>
                  </c:pt>
                  <c:pt idx="76">
                    <c:v>2.1582733812949666E-2</c:v>
                  </c:pt>
                  <c:pt idx="77">
                    <c:v>0.18705035971223025</c:v>
                  </c:pt>
                  <c:pt idx="78">
                    <c:v>0.16363636363636364</c:v>
                  </c:pt>
                </c:numCache>
              </c:numRef>
            </c:minus>
            <c:spPr>
              <a:ln>
                <a:solidFill>
                  <a:srgbClr val="0070C0"/>
                </a:solidFill>
              </a:ln>
            </c:spPr>
          </c:errBars>
          <c:xVal>
            <c:numRef>
              <c:f>'RipplesSpacing-LP3'!$I$2:$I$89</c:f>
              <c:numCache>
                <c:formatCode>General</c:formatCode>
                <c:ptCount val="8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9</c:v>
                </c:pt>
                <c:pt idx="50">
                  <c:v>9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20</c:v>
                </c:pt>
                <c:pt idx="65">
                  <c:v>20</c:v>
                </c:pt>
                <c:pt idx="66">
                  <c:v>30</c:v>
                </c:pt>
                <c:pt idx="67">
                  <c:v>30</c:v>
                </c:pt>
                <c:pt idx="68">
                  <c:v>40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85</c:v>
                </c:pt>
                <c:pt idx="73">
                  <c:v>100</c:v>
                </c:pt>
                <c:pt idx="74">
                  <c:v>100</c:v>
                </c:pt>
                <c:pt idx="75">
                  <c:v>150</c:v>
                </c:pt>
                <c:pt idx="76">
                  <c:v>1000</c:v>
                </c:pt>
                <c:pt idx="77">
                  <c:v>20</c:v>
                </c:pt>
                <c:pt idx="78">
                  <c:v>20</c:v>
                </c:pt>
                <c:pt idx="79">
                  <c:v>200</c:v>
                </c:pt>
                <c:pt idx="80">
                  <c:v>400</c:v>
                </c:pt>
                <c:pt idx="81">
                  <c:v>500</c:v>
                </c:pt>
                <c:pt idx="82">
                  <c:v>800</c:v>
                </c:pt>
                <c:pt idx="83">
                  <c:v>200</c:v>
                </c:pt>
                <c:pt idx="84">
                  <c:v>300</c:v>
                </c:pt>
                <c:pt idx="85">
                  <c:v>400</c:v>
                </c:pt>
              </c:numCache>
            </c:numRef>
          </c:xVal>
          <c:yVal>
            <c:numRef>
              <c:f>'RipplesSpacing-LP3'!$B$2:$B$89</c:f>
              <c:numCache>
                <c:formatCode>0.00E+00</c:formatCode>
                <c:ptCount val="86"/>
                <c:pt idx="0">
                  <c:v>1.0083333333333335</c:v>
                </c:pt>
                <c:pt idx="1">
                  <c:v>1.0299999999999998</c:v>
                </c:pt>
                <c:pt idx="2">
                  <c:v>0.94464285714285712</c:v>
                </c:pt>
                <c:pt idx="3">
                  <c:v>0.87968749999999996</c:v>
                </c:pt>
                <c:pt idx="4">
                  <c:v>0.94444444444444453</c:v>
                </c:pt>
                <c:pt idx="5">
                  <c:v>0.94652777777777786</c:v>
                </c:pt>
                <c:pt idx="6">
                  <c:v>0.90989583333333324</c:v>
                </c:pt>
                <c:pt idx="7">
                  <c:v>0.96302083333333333</c:v>
                </c:pt>
                <c:pt idx="8">
                  <c:v>0.9</c:v>
                </c:pt>
                <c:pt idx="9">
                  <c:v>0.9902777777777777</c:v>
                </c:pt>
                <c:pt idx="10">
                  <c:v>1.0125</c:v>
                </c:pt>
                <c:pt idx="11">
                  <c:v>1.0018750000000001</c:v>
                </c:pt>
                <c:pt idx="12">
                  <c:v>0.93888888888888888</c:v>
                </c:pt>
                <c:pt idx="13">
                  <c:v>0.87968749999999996</c:v>
                </c:pt>
                <c:pt idx="14">
                  <c:v>1.0604166666666668</c:v>
                </c:pt>
                <c:pt idx="15">
                  <c:v>0.91499999999999981</c:v>
                </c:pt>
                <c:pt idx="16">
                  <c:v>0.8833333333333333</c:v>
                </c:pt>
                <c:pt idx="17">
                  <c:v>0.98124999999999996</c:v>
                </c:pt>
                <c:pt idx="18">
                  <c:v>0.91718750000000004</c:v>
                </c:pt>
                <c:pt idx="19">
                  <c:v>0.93749999999999989</c:v>
                </c:pt>
                <c:pt idx="20">
                  <c:v>0.9447368421052631</c:v>
                </c:pt>
                <c:pt idx="21">
                  <c:v>0.84531250000000002</c:v>
                </c:pt>
                <c:pt idx="22">
                  <c:v>0.8616071428571429</c:v>
                </c:pt>
                <c:pt idx="23">
                  <c:v>0.95480769230769225</c:v>
                </c:pt>
                <c:pt idx="24">
                  <c:v>1.0024999999999999</c:v>
                </c:pt>
                <c:pt idx="25">
                  <c:v>0.92678571428571421</c:v>
                </c:pt>
                <c:pt idx="26">
                  <c:v>0.99375000000000002</c:v>
                </c:pt>
                <c:pt idx="27">
                  <c:v>0.94044117647058845</c:v>
                </c:pt>
                <c:pt idx="28">
                  <c:v>0.9464285714285714</c:v>
                </c:pt>
                <c:pt idx="29">
                  <c:v>0.91770833333333346</c:v>
                </c:pt>
                <c:pt idx="30">
                  <c:v>0.89375000000000004</c:v>
                </c:pt>
                <c:pt idx="31">
                  <c:v>0.80729166666666652</c:v>
                </c:pt>
                <c:pt idx="32">
                  <c:v>0.99</c:v>
                </c:pt>
                <c:pt idx="33">
                  <c:v>1.0274999999999999</c:v>
                </c:pt>
                <c:pt idx="34">
                  <c:v>1.0007812500000002</c:v>
                </c:pt>
                <c:pt idx="35">
                  <c:v>0.97624999999999995</c:v>
                </c:pt>
                <c:pt idx="36">
                  <c:v>0.90486111111111112</c:v>
                </c:pt>
                <c:pt idx="37">
                  <c:v>1.02125</c:v>
                </c:pt>
                <c:pt idx="38">
                  <c:v>0.89375000000000004</c:v>
                </c:pt>
                <c:pt idx="39">
                  <c:v>0.97968749999999982</c:v>
                </c:pt>
                <c:pt idx="40">
                  <c:v>1.0328124999999999</c:v>
                </c:pt>
                <c:pt idx="41">
                  <c:v>1</c:v>
                </c:pt>
                <c:pt idx="42">
                  <c:v>0.90480769230769231</c:v>
                </c:pt>
                <c:pt idx="43">
                  <c:v>0.91874999999999996</c:v>
                </c:pt>
                <c:pt idx="44">
                  <c:v>0.92083333333333328</c:v>
                </c:pt>
                <c:pt idx="45">
                  <c:v>0.93791666666666673</c:v>
                </c:pt>
                <c:pt idx="46">
                  <c:v>0.93238636363636362</c:v>
                </c:pt>
                <c:pt idx="47">
                  <c:v>0.95480769230769225</c:v>
                </c:pt>
                <c:pt idx="48">
                  <c:v>0.99375000000000002</c:v>
                </c:pt>
                <c:pt idx="49">
                  <c:v>1.0057291666666666</c:v>
                </c:pt>
                <c:pt idx="50">
                  <c:v>0.88749999999999996</c:v>
                </c:pt>
                <c:pt idx="51">
                  <c:v>0.97916666666666652</c:v>
                </c:pt>
                <c:pt idx="52">
                  <c:v>0.92500000000000004</c:v>
                </c:pt>
                <c:pt idx="53">
                  <c:v>0.87410714285714275</c:v>
                </c:pt>
                <c:pt idx="54">
                  <c:v>0.92916666666666659</c:v>
                </c:pt>
                <c:pt idx="55">
                  <c:v>0.90625000000000011</c:v>
                </c:pt>
                <c:pt idx="56">
                  <c:v>0.87916666666666676</c:v>
                </c:pt>
                <c:pt idx="57">
                  <c:v>0.9609375</c:v>
                </c:pt>
                <c:pt idx="58">
                  <c:v>0.89375000000000004</c:v>
                </c:pt>
                <c:pt idx="59">
                  <c:v>0.94411764705882351</c:v>
                </c:pt>
                <c:pt idx="60">
                  <c:v>0.9257352941176471</c:v>
                </c:pt>
                <c:pt idx="61">
                  <c:v>0.93562500000000004</c:v>
                </c:pt>
                <c:pt idx="62">
                  <c:v>0.92239583333333319</c:v>
                </c:pt>
                <c:pt idx="63">
                  <c:v>0.85312499999999991</c:v>
                </c:pt>
                <c:pt idx="64">
                  <c:v>0.92281249999999981</c:v>
                </c:pt>
                <c:pt idx="65">
                  <c:v>0.89374999999999982</c:v>
                </c:pt>
                <c:pt idx="66">
                  <c:v>0.90902777777777777</c:v>
                </c:pt>
                <c:pt idx="67">
                  <c:v>0.86874999999999991</c:v>
                </c:pt>
                <c:pt idx="68">
                  <c:v>0.89050000000000007</c:v>
                </c:pt>
                <c:pt idx="69">
                  <c:v>0.84375</c:v>
                </c:pt>
                <c:pt idx="70">
                  <c:v>0.69062500000000004</c:v>
                </c:pt>
                <c:pt idx="71">
                  <c:v>0.87424999999999997</c:v>
                </c:pt>
                <c:pt idx="72">
                  <c:v>0.75192307692307692</c:v>
                </c:pt>
                <c:pt idx="73">
                  <c:v>0.83125000000000004</c:v>
                </c:pt>
                <c:pt idx="74">
                  <c:v>0.68515624999999991</c:v>
                </c:pt>
                <c:pt idx="75">
                  <c:v>0.71843750000000017</c:v>
                </c:pt>
                <c:pt idx="76">
                  <c:v>0.86874999999999991</c:v>
                </c:pt>
                <c:pt idx="77">
                  <c:v>0.5346153846153846</c:v>
                </c:pt>
                <c:pt idx="78">
                  <c:v>0.63461538461538458</c:v>
                </c:pt>
                <c:pt idx="79">
                  <c:v>0.77500000000000002</c:v>
                </c:pt>
                <c:pt idx="80">
                  <c:v>0.77500000000000002</c:v>
                </c:pt>
                <c:pt idx="81">
                  <c:v>0.8</c:v>
                </c:pt>
                <c:pt idx="82">
                  <c:v>0.75</c:v>
                </c:pt>
                <c:pt idx="83">
                  <c:v>0.75624999999999998</c:v>
                </c:pt>
                <c:pt idx="84">
                  <c:v>0.77500000000000002</c:v>
                </c:pt>
                <c:pt idx="85">
                  <c:v>0.78125</c:v>
                </c:pt>
              </c:numCache>
            </c:numRef>
          </c:yVal>
        </c:ser>
        <c:ser>
          <c:idx val="1"/>
          <c:order val="1"/>
          <c:tx>
            <c:v>Littérature</c:v>
          </c:tx>
          <c:spPr>
            <a:ln w="28575">
              <a:noFill/>
            </a:ln>
          </c:spPr>
          <c:marker>
            <c:symbol val="circle"/>
            <c:size val="5"/>
          </c:marker>
          <c:errBars>
            <c:errDir val="y"/>
            <c:errBarType val="both"/>
            <c:errValType val="cust"/>
            <c:plus>
              <c:numRef>
                <c:f>'RipplesSpacing-Litteratur'!$Q$6:$Q$63</c:f>
                <c:numCache>
                  <c:formatCode>General</c:formatCode>
                  <c:ptCount val="36"/>
                  <c:pt idx="0">
                    <c:v>5.1948051948051951E-2</c:v>
                  </c:pt>
                  <c:pt idx="1">
                    <c:v>7.1428571428571425E-2</c:v>
                  </c:pt>
                  <c:pt idx="2">
                    <c:v>1.4354066985645933E-2</c:v>
                  </c:pt>
                  <c:pt idx="3">
                    <c:v>2.1985343104596933E-2</c:v>
                  </c:pt>
                  <c:pt idx="4">
                    <c:v>1.447229085774797E-2</c:v>
                  </c:pt>
                  <c:pt idx="5">
                    <c:v>1.0214864388869321E-2</c:v>
                  </c:pt>
                  <c:pt idx="6">
                    <c:v>7.3421439060205582E-2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4.3853342918763479E-2</c:v>
                  </c:pt>
                  <c:pt idx="11">
                    <c:v>5.9001512859304078E-2</c:v>
                  </c:pt>
                  <c:pt idx="12">
                    <c:v>1.0085337470907681E-2</c:v>
                  </c:pt>
                  <c:pt idx="13">
                    <c:v>9.3198992443324941E-2</c:v>
                  </c:pt>
                  <c:pt idx="14">
                    <c:v>1.2074643249176729E-2</c:v>
                  </c:pt>
                  <c:pt idx="15">
                    <c:v>9.779951100244497E-3</c:v>
                  </c:pt>
                  <c:pt idx="16">
                    <c:v>3.3854166666666671E-2</c:v>
                  </c:pt>
                  <c:pt idx="17">
                    <c:v>2.6984126984126985E-2</c:v>
                  </c:pt>
                  <c:pt idx="18">
                    <c:v>1.2056262558606833E-2</c:v>
                  </c:pt>
                  <c:pt idx="19">
                    <c:v>2.7021535960991466E-2</c:v>
                  </c:pt>
                  <c:pt idx="20">
                    <c:v>9.514212245465295E-2</c:v>
                  </c:pt>
                  <c:pt idx="21">
                    <c:v>1.5841584158415842E-2</c:v>
                  </c:pt>
                  <c:pt idx="22">
                    <c:v>8.7227970032108457E-2</c:v>
                  </c:pt>
                  <c:pt idx="23">
                    <c:v>2.2004889975550123E-2</c:v>
                  </c:pt>
                  <c:pt idx="24">
                    <c:v>7.3170731707317069E-2</c:v>
                  </c:pt>
                  <c:pt idx="25">
                    <c:v>2.9411764705882353E-2</c:v>
                  </c:pt>
                  <c:pt idx="26">
                    <c:v>5.1094890510948905E-2</c:v>
                  </c:pt>
                  <c:pt idx="27">
                    <c:v>4.8275862068965517E-2</c:v>
                  </c:pt>
                  <c:pt idx="28">
                    <c:v>7.586206896551724E-2</c:v>
                  </c:pt>
                  <c:pt idx="29">
                    <c:v>6.3607483233321563E-2</c:v>
                  </c:pt>
                  <c:pt idx="30">
                    <c:v>2.7404621171413217E-2</c:v>
                  </c:pt>
                  <c:pt idx="31">
                    <c:v>0</c:v>
                  </c:pt>
                  <c:pt idx="32">
                    <c:v>0</c:v>
                  </c:pt>
                  <c:pt idx="33">
                    <c:v>3.6912751677852351E-2</c:v>
                  </c:pt>
                  <c:pt idx="34">
                    <c:v>3.787878787878788E-2</c:v>
                  </c:pt>
                  <c:pt idx="35">
                    <c:v>3.6585365853658534E-2</c:v>
                  </c:pt>
                </c:numCache>
              </c:numRef>
            </c:plus>
            <c:minus>
              <c:numRef>
                <c:f>'RipplesSpacing-Litteratur'!$Q$6:$Q$63</c:f>
                <c:numCache>
                  <c:formatCode>General</c:formatCode>
                  <c:ptCount val="36"/>
                  <c:pt idx="0">
                    <c:v>5.1948051948051951E-2</c:v>
                  </c:pt>
                  <c:pt idx="1">
                    <c:v>7.1428571428571425E-2</c:v>
                  </c:pt>
                  <c:pt idx="2">
                    <c:v>1.4354066985645933E-2</c:v>
                  </c:pt>
                  <c:pt idx="3">
                    <c:v>2.1985343104596933E-2</c:v>
                  </c:pt>
                  <c:pt idx="4">
                    <c:v>1.447229085774797E-2</c:v>
                  </c:pt>
                  <c:pt idx="5">
                    <c:v>1.0214864388869321E-2</c:v>
                  </c:pt>
                  <c:pt idx="6">
                    <c:v>7.3421439060205582E-2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4.3853342918763479E-2</c:v>
                  </c:pt>
                  <c:pt idx="11">
                    <c:v>5.9001512859304078E-2</c:v>
                  </c:pt>
                  <c:pt idx="12">
                    <c:v>1.0085337470907681E-2</c:v>
                  </c:pt>
                  <c:pt idx="13">
                    <c:v>9.3198992443324941E-2</c:v>
                  </c:pt>
                  <c:pt idx="14">
                    <c:v>1.2074643249176729E-2</c:v>
                  </c:pt>
                  <c:pt idx="15">
                    <c:v>9.779951100244497E-3</c:v>
                  </c:pt>
                  <c:pt idx="16">
                    <c:v>3.3854166666666671E-2</c:v>
                  </c:pt>
                  <c:pt idx="17">
                    <c:v>2.6984126984126985E-2</c:v>
                  </c:pt>
                  <c:pt idx="18">
                    <c:v>1.2056262558606833E-2</c:v>
                  </c:pt>
                  <c:pt idx="19">
                    <c:v>2.7021535960991466E-2</c:v>
                  </c:pt>
                  <c:pt idx="20">
                    <c:v>9.514212245465295E-2</c:v>
                  </c:pt>
                  <c:pt idx="21">
                    <c:v>1.5841584158415842E-2</c:v>
                  </c:pt>
                  <c:pt idx="22">
                    <c:v>8.7227970032108457E-2</c:v>
                  </c:pt>
                  <c:pt idx="23">
                    <c:v>2.2004889975550123E-2</c:v>
                  </c:pt>
                  <c:pt idx="24">
                    <c:v>7.3170731707317069E-2</c:v>
                  </c:pt>
                  <c:pt idx="25">
                    <c:v>2.9411764705882353E-2</c:v>
                  </c:pt>
                  <c:pt idx="26">
                    <c:v>5.1094890510948905E-2</c:v>
                  </c:pt>
                  <c:pt idx="27">
                    <c:v>4.8275862068965517E-2</c:v>
                  </c:pt>
                  <c:pt idx="28">
                    <c:v>7.586206896551724E-2</c:v>
                  </c:pt>
                  <c:pt idx="29">
                    <c:v>6.3607483233321563E-2</c:v>
                  </c:pt>
                  <c:pt idx="30">
                    <c:v>2.7404621171413217E-2</c:v>
                  </c:pt>
                  <c:pt idx="31">
                    <c:v>0</c:v>
                  </c:pt>
                  <c:pt idx="32">
                    <c:v>0</c:v>
                  </c:pt>
                  <c:pt idx="33">
                    <c:v>3.6912751677852351E-2</c:v>
                  </c:pt>
                  <c:pt idx="34">
                    <c:v>3.787878787878788E-2</c:v>
                  </c:pt>
                  <c:pt idx="35">
                    <c:v>3.6585365853658534E-2</c:v>
                  </c:pt>
                </c:numCache>
              </c:numRef>
            </c:minus>
            <c:spPr>
              <a:ln>
                <a:solidFill>
                  <a:srgbClr val="C00000"/>
                </a:solidFill>
              </a:ln>
            </c:spPr>
          </c:errBars>
          <c:xVal>
            <c:numRef>
              <c:f>'RipplesSpacing-Litteratur'!$L$2:$L$66</c:f>
              <c:numCache>
                <c:formatCode>General</c:formatCode>
                <c:ptCount val="36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25</c:v>
                </c:pt>
                <c:pt idx="12">
                  <c:v>50</c:v>
                </c:pt>
                <c:pt idx="13">
                  <c:v>100</c:v>
                </c:pt>
                <c:pt idx="14">
                  <c:v>100</c:v>
                </c:pt>
                <c:pt idx="15">
                  <c:v>1000</c:v>
                </c:pt>
                <c:pt idx="16">
                  <c:v>100</c:v>
                </c:pt>
                <c:pt idx="17">
                  <c:v>100</c:v>
                </c:pt>
                <c:pt idx="18">
                  <c:v>200</c:v>
                </c:pt>
                <c:pt idx="19">
                  <c:v>300</c:v>
                </c:pt>
                <c:pt idx="20">
                  <c:v>500</c:v>
                </c:pt>
                <c:pt idx="21">
                  <c:v>500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1200</c:v>
                </c:pt>
                <c:pt idx="30">
                  <c:v>1200</c:v>
                </c:pt>
                <c:pt idx="33">
                  <c:v>10000</c:v>
                </c:pt>
                <c:pt idx="34">
                  <c:v>20000</c:v>
                </c:pt>
                <c:pt idx="35">
                  <c:v>60000</c:v>
                </c:pt>
              </c:numCache>
            </c:numRef>
          </c:xVal>
          <c:yVal>
            <c:numRef>
              <c:f>'RipplesSpacing-Litteratur'!$B$2:$B$66</c:f>
              <c:numCache>
                <c:formatCode>0.00</c:formatCode>
                <c:ptCount val="36"/>
                <c:pt idx="0">
                  <c:v>0.96250000000000002</c:v>
                </c:pt>
                <c:pt idx="1">
                  <c:v>0.875</c:v>
                </c:pt>
                <c:pt idx="2">
                  <c:v>0.87920673076923073</c:v>
                </c:pt>
                <c:pt idx="3">
                  <c:v>0.893452380952381</c:v>
                </c:pt>
                <c:pt idx="4">
                  <c:v>0.9319078947368421</c:v>
                </c:pt>
                <c:pt idx="5">
                  <c:v>0.93388157894736834</c:v>
                </c:pt>
                <c:pt idx="6">
                  <c:v>0.85124999999999995</c:v>
                </c:pt>
                <c:pt idx="7">
                  <c:v>0.76190476190476186</c:v>
                </c:pt>
                <c:pt idx="8">
                  <c:v>0.80769230769230771</c:v>
                </c:pt>
                <c:pt idx="9">
                  <c:v>0.8125</c:v>
                </c:pt>
                <c:pt idx="10">
                  <c:v>0.82797619047619042</c:v>
                </c:pt>
                <c:pt idx="11">
                  <c:v>0.69287211740041932</c:v>
                </c:pt>
                <c:pt idx="12">
                  <c:v>0.73699256718124639</c:v>
                </c:pt>
                <c:pt idx="13">
                  <c:v>0.74437500000000001</c:v>
                </c:pt>
                <c:pt idx="14">
                  <c:v>0.19633620689655171</c:v>
                </c:pt>
                <c:pt idx="15">
                  <c:v>0.17041666666666669</c:v>
                </c:pt>
                <c:pt idx="16">
                  <c:v>0.73846153846153839</c:v>
                </c:pt>
                <c:pt idx="17">
                  <c:v>0.88050314465408808</c:v>
                </c:pt>
                <c:pt idx="18">
                  <c:v>0.6380341880341881</c:v>
                </c:pt>
                <c:pt idx="19">
                  <c:v>0.24610000000000001</c:v>
                </c:pt>
                <c:pt idx="20">
                  <c:v>0.71944999999999992</c:v>
                </c:pt>
                <c:pt idx="21">
                  <c:v>0.7193732193732193</c:v>
                </c:pt>
                <c:pt idx="22">
                  <c:v>0.70074999999999998</c:v>
                </c:pt>
                <c:pt idx="23">
                  <c:v>0.76687499999999997</c:v>
                </c:pt>
                <c:pt idx="24">
                  <c:v>0.25624999999999998</c:v>
                </c:pt>
                <c:pt idx="25">
                  <c:v>0.8774193548387097</c:v>
                </c:pt>
                <c:pt idx="26">
                  <c:v>0.88387096774193552</c:v>
                </c:pt>
                <c:pt idx="27">
                  <c:v>0.93548387096774188</c:v>
                </c:pt>
                <c:pt idx="28">
                  <c:v>0.93548387096774188</c:v>
                </c:pt>
                <c:pt idx="29">
                  <c:v>0.8094285714285715</c:v>
                </c:pt>
                <c:pt idx="30">
                  <c:v>0.82711111111111113</c:v>
                </c:pt>
                <c:pt idx="31">
                  <c:v>0.25</c:v>
                </c:pt>
                <c:pt idx="32">
                  <c:v>0.625</c:v>
                </c:pt>
                <c:pt idx="33">
                  <c:v>0.93125000000000002</c:v>
                </c:pt>
                <c:pt idx="34">
                  <c:v>0.82499999999999996</c:v>
                </c:pt>
                <c:pt idx="35">
                  <c:v>0.25624999999999998</c:v>
                </c:pt>
              </c:numCache>
            </c:numRef>
          </c:yVal>
        </c:ser>
        <c:axId val="104042880"/>
        <c:axId val="104045184"/>
      </c:scatterChart>
      <c:valAx>
        <c:axId val="104042880"/>
        <c:scaling>
          <c:logBase val="10"/>
          <c:orientation val="minMax"/>
          <c:max val="100000"/>
        </c:scaling>
        <c:axPos val="b"/>
        <c:minorGridlines>
          <c:spPr>
            <a:ln>
              <a:solidFill>
                <a:sysClr val="windowText" lastClr="000000">
                  <a:alpha val="17000"/>
                </a:sys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Nombre</a:t>
                </a:r>
                <a:r>
                  <a:rPr lang="fr-FR" sz="1400" baseline="0"/>
                  <a:t> d'impulsions</a:t>
                </a:r>
                <a:endParaRPr lang="fr-FR" sz="14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104045184"/>
        <c:crosses val="autoZero"/>
        <c:crossBetween val="midCat"/>
      </c:valAx>
      <c:valAx>
        <c:axId val="104045184"/>
        <c:scaling>
          <c:orientation val="minMax"/>
        </c:scaling>
        <c:axPos val="l"/>
        <c:majorGridlines>
          <c:spPr>
            <a:ln>
              <a:solidFill>
                <a:sysClr val="windowText" lastClr="000000">
                  <a:alpha val="22000"/>
                </a:sys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fr-FR" sz="1200"/>
                  <a:t>Période</a:t>
                </a:r>
                <a:r>
                  <a:rPr lang="fr-FR" sz="1200" baseline="0"/>
                  <a:t> normalisée</a:t>
                </a:r>
                <a:endParaRPr lang="fr-FR" sz="1200"/>
              </a:p>
            </c:rich>
          </c:tx>
          <c:layout/>
        </c:title>
        <c:numFmt formatCode="General" sourceLinked="0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104042880"/>
        <c:crosses val="autoZero"/>
        <c:crossBetween val="midCat"/>
      </c:valAx>
    </c:plotArea>
    <c:legend>
      <c:legendPos val="r"/>
      <c:layout/>
    </c:legend>
    <c:plotVisOnly val="1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scatterChart>
        <c:scatterStyle val="lineMarker"/>
        <c:ser>
          <c:idx val="0"/>
          <c:order val="0"/>
          <c:tx>
            <c:v>LP3</c:v>
          </c:tx>
          <c:spPr>
            <a:ln w="28575">
              <a:noFill/>
            </a:ln>
          </c:spPr>
          <c:errBars>
            <c:errDir val="y"/>
            <c:errBarType val="both"/>
            <c:errValType val="cust"/>
            <c:plus>
              <c:numRef>
                <c:f>'RipplesSpacing-LP3'!$H$2:$H$55</c:f>
                <c:numCache>
                  <c:formatCode>General</c:formatCode>
                  <c:ptCount val="53"/>
                  <c:pt idx="0">
                    <c:v>1.9628099173553706E-2</c:v>
                  </c:pt>
                  <c:pt idx="1">
                    <c:v>2.9126213592232993E-2</c:v>
                  </c:pt>
                  <c:pt idx="5">
                    <c:v>2.3844460748349249E-2</c:v>
                  </c:pt>
                  <c:pt idx="6">
                    <c:v>1.459645105895822E-2</c:v>
                  </c:pt>
                  <c:pt idx="7">
                    <c:v>9.7349918875067592E-3</c:v>
                  </c:pt>
                  <c:pt idx="8">
                    <c:v>5.5555555555555539E-2</c:v>
                  </c:pt>
                  <c:pt idx="9">
                    <c:v>5.6100981767180681E-3</c:v>
                  </c:pt>
                  <c:pt idx="10">
                    <c:v>2.1604938271604927E-2</c:v>
                  </c:pt>
                  <c:pt idx="11">
                    <c:v>6.2383031815346152E-3</c:v>
                  </c:pt>
                  <c:pt idx="12">
                    <c:v>1.2573964497041425E-2</c:v>
                  </c:pt>
                  <c:pt idx="13">
                    <c:v>3.6412078152753095E-2</c:v>
                  </c:pt>
                  <c:pt idx="14">
                    <c:v>1.8664047151277043E-2</c:v>
                  </c:pt>
                  <c:pt idx="15">
                    <c:v>3.2786885245901648E-2</c:v>
                  </c:pt>
                  <c:pt idx="16">
                    <c:v>1.7099056603773623E-2</c:v>
                  </c:pt>
                  <c:pt idx="17">
                    <c:v>4.6545810877021039E-3</c:v>
                  </c:pt>
                  <c:pt idx="18">
                    <c:v>2.3850085178875664E-2</c:v>
                  </c:pt>
                  <c:pt idx="19">
                    <c:v>1.1999999999999972E-2</c:v>
                  </c:pt>
                  <c:pt idx="20">
                    <c:v>6.9637883008356466E-3</c:v>
                  </c:pt>
                  <c:pt idx="21">
                    <c:v>3.9741219963031434E-2</c:v>
                  </c:pt>
                  <c:pt idx="22">
                    <c:v>1.2953367875647676E-2</c:v>
                  </c:pt>
                  <c:pt idx="23">
                    <c:v>1.1581067472306118E-2</c:v>
                  </c:pt>
                  <c:pt idx="24">
                    <c:v>8.2294264339152177E-3</c:v>
                  </c:pt>
                  <c:pt idx="25">
                    <c:v>2.4084778420038509E-2</c:v>
                  </c:pt>
                  <c:pt idx="26">
                    <c:v>5.8962264150943496E-3</c:v>
                  </c:pt>
                  <c:pt idx="27">
                    <c:v>8.60046911649728E-3</c:v>
                  </c:pt>
                  <c:pt idx="28">
                    <c:v>9.4339622641509326E-3</c:v>
                  </c:pt>
                  <c:pt idx="29">
                    <c:v>1.2485811577752529E-2</c:v>
                  </c:pt>
                  <c:pt idx="30">
                    <c:v>2.2727272727272731E-2</c:v>
                  </c:pt>
                  <c:pt idx="31">
                    <c:v>7.0967741935483754E-3</c:v>
                  </c:pt>
                  <c:pt idx="32">
                    <c:v>2.0202020202020225E-2</c:v>
                  </c:pt>
                  <c:pt idx="33">
                    <c:v>1.0340632603406331E-2</c:v>
                  </c:pt>
                  <c:pt idx="34">
                    <c:v>1.131928181108508E-2</c:v>
                  </c:pt>
                  <c:pt idx="35">
                    <c:v>2.0486555697823296E-2</c:v>
                  </c:pt>
                  <c:pt idx="36">
                    <c:v>7.2908672294704473E-3</c:v>
                  </c:pt>
                  <c:pt idx="37">
                    <c:v>4.5899632802937552E-2</c:v>
                  </c:pt>
                  <c:pt idx="38">
                    <c:v>1.3286713286713278E-2</c:v>
                  </c:pt>
                  <c:pt idx="39">
                    <c:v>3.9872408293460887E-3</c:v>
                  </c:pt>
                  <c:pt idx="40">
                    <c:v>4.0090771558245079E-2</c:v>
                  </c:pt>
                  <c:pt idx="41">
                    <c:v>1.8749999999999985E-2</c:v>
                  </c:pt>
                  <c:pt idx="42">
                    <c:v>4.250797024442083E-2</c:v>
                  </c:pt>
                  <c:pt idx="43">
                    <c:v>5.7823129251700668E-2</c:v>
                  </c:pt>
                  <c:pt idx="44">
                    <c:v>9.0497737556560869E-3</c:v>
                  </c:pt>
                  <c:pt idx="45">
                    <c:v>5.1088405153265097E-3</c:v>
                  </c:pt>
                  <c:pt idx="46">
                    <c:v>1.1273613650213281E-2</c:v>
                  </c:pt>
                  <c:pt idx="47">
                    <c:v>2.2658610271903534E-3</c:v>
                  </c:pt>
                  <c:pt idx="48">
                    <c:v>8.7351502445842111E-3</c:v>
                  </c:pt>
                  <c:pt idx="49">
                    <c:v>1.3205592957017096E-2</c:v>
                  </c:pt>
                  <c:pt idx="50">
                    <c:v>7.0422535211267609E-2</c:v>
                  </c:pt>
                  <c:pt idx="51">
                    <c:v>2.9255319148936164E-2</c:v>
                  </c:pt>
                  <c:pt idx="52">
                    <c:v>7.4324324324324328E-2</c:v>
                  </c:pt>
                </c:numCache>
              </c:numRef>
            </c:plus>
            <c:minus>
              <c:numRef>
                <c:f>'RipplesSpacing-LP3'!$H$2:$H$55</c:f>
                <c:numCache>
                  <c:formatCode>General</c:formatCode>
                  <c:ptCount val="53"/>
                  <c:pt idx="0">
                    <c:v>1.9628099173553706E-2</c:v>
                  </c:pt>
                  <c:pt idx="1">
                    <c:v>2.9126213592232993E-2</c:v>
                  </c:pt>
                  <c:pt idx="5">
                    <c:v>2.3844460748349249E-2</c:v>
                  </c:pt>
                  <c:pt idx="6">
                    <c:v>1.459645105895822E-2</c:v>
                  </c:pt>
                  <c:pt idx="7">
                    <c:v>9.7349918875067592E-3</c:v>
                  </c:pt>
                  <c:pt idx="8">
                    <c:v>5.5555555555555539E-2</c:v>
                  </c:pt>
                  <c:pt idx="9">
                    <c:v>5.6100981767180681E-3</c:v>
                  </c:pt>
                  <c:pt idx="10">
                    <c:v>2.1604938271604927E-2</c:v>
                  </c:pt>
                  <c:pt idx="11">
                    <c:v>6.2383031815346152E-3</c:v>
                  </c:pt>
                  <c:pt idx="12">
                    <c:v>1.2573964497041425E-2</c:v>
                  </c:pt>
                  <c:pt idx="13">
                    <c:v>3.6412078152753095E-2</c:v>
                  </c:pt>
                  <c:pt idx="14">
                    <c:v>1.8664047151277043E-2</c:v>
                  </c:pt>
                  <c:pt idx="15">
                    <c:v>3.2786885245901648E-2</c:v>
                  </c:pt>
                  <c:pt idx="16">
                    <c:v>1.7099056603773623E-2</c:v>
                  </c:pt>
                  <c:pt idx="17">
                    <c:v>4.6545810877021039E-3</c:v>
                  </c:pt>
                  <c:pt idx="18">
                    <c:v>2.3850085178875664E-2</c:v>
                  </c:pt>
                  <c:pt idx="19">
                    <c:v>1.1999999999999972E-2</c:v>
                  </c:pt>
                  <c:pt idx="20">
                    <c:v>6.9637883008356466E-3</c:v>
                  </c:pt>
                  <c:pt idx="21">
                    <c:v>3.9741219963031434E-2</c:v>
                  </c:pt>
                  <c:pt idx="22">
                    <c:v>1.2953367875647676E-2</c:v>
                  </c:pt>
                  <c:pt idx="23">
                    <c:v>1.1581067472306118E-2</c:v>
                  </c:pt>
                  <c:pt idx="24">
                    <c:v>8.2294264339152177E-3</c:v>
                  </c:pt>
                  <c:pt idx="25">
                    <c:v>2.4084778420038509E-2</c:v>
                  </c:pt>
                  <c:pt idx="26">
                    <c:v>5.8962264150943496E-3</c:v>
                  </c:pt>
                  <c:pt idx="27">
                    <c:v>8.60046911649728E-3</c:v>
                  </c:pt>
                  <c:pt idx="28">
                    <c:v>9.4339622641509326E-3</c:v>
                  </c:pt>
                  <c:pt idx="29">
                    <c:v>1.2485811577752529E-2</c:v>
                  </c:pt>
                  <c:pt idx="30">
                    <c:v>2.2727272727272731E-2</c:v>
                  </c:pt>
                  <c:pt idx="31">
                    <c:v>7.0967741935483754E-3</c:v>
                  </c:pt>
                  <c:pt idx="32">
                    <c:v>2.0202020202020225E-2</c:v>
                  </c:pt>
                  <c:pt idx="33">
                    <c:v>1.0340632603406331E-2</c:v>
                  </c:pt>
                  <c:pt idx="34">
                    <c:v>1.131928181108508E-2</c:v>
                  </c:pt>
                  <c:pt idx="35">
                    <c:v>2.0486555697823296E-2</c:v>
                  </c:pt>
                  <c:pt idx="36">
                    <c:v>7.2908672294704473E-3</c:v>
                  </c:pt>
                  <c:pt idx="37">
                    <c:v>4.5899632802937552E-2</c:v>
                  </c:pt>
                  <c:pt idx="38">
                    <c:v>1.3286713286713278E-2</c:v>
                  </c:pt>
                  <c:pt idx="39">
                    <c:v>3.9872408293460887E-3</c:v>
                  </c:pt>
                  <c:pt idx="40">
                    <c:v>4.0090771558245079E-2</c:v>
                  </c:pt>
                  <c:pt idx="41">
                    <c:v>1.8749999999999985E-2</c:v>
                  </c:pt>
                  <c:pt idx="42">
                    <c:v>4.250797024442083E-2</c:v>
                  </c:pt>
                  <c:pt idx="43">
                    <c:v>5.7823129251700668E-2</c:v>
                  </c:pt>
                  <c:pt idx="44">
                    <c:v>9.0497737556560869E-3</c:v>
                  </c:pt>
                  <c:pt idx="45">
                    <c:v>5.1088405153265097E-3</c:v>
                  </c:pt>
                  <c:pt idx="46">
                    <c:v>1.1273613650213281E-2</c:v>
                  </c:pt>
                  <c:pt idx="47">
                    <c:v>2.2658610271903534E-3</c:v>
                  </c:pt>
                  <c:pt idx="48">
                    <c:v>8.7351502445842111E-3</c:v>
                  </c:pt>
                  <c:pt idx="49">
                    <c:v>1.3205592957017096E-2</c:v>
                  </c:pt>
                  <c:pt idx="50">
                    <c:v>7.0422535211267609E-2</c:v>
                  </c:pt>
                  <c:pt idx="51">
                    <c:v>2.9255319148936164E-2</c:v>
                  </c:pt>
                  <c:pt idx="52">
                    <c:v>7.4324324324324328E-2</c:v>
                  </c:pt>
                </c:numCache>
              </c:numRef>
            </c:minus>
          </c:errBars>
          <c:xVal>
            <c:numRef>
              <c:f>'RipplesSpacing-LP3'!$A$2:$A$62</c:f>
              <c:numCache>
                <c:formatCode>0.00E+00</c:formatCode>
                <c:ptCount val="59"/>
                <c:pt idx="0">
                  <c:v>1.1499999999999999</c:v>
                </c:pt>
                <c:pt idx="1">
                  <c:v>1.2</c:v>
                </c:pt>
                <c:pt idx="2" formatCode="General">
                  <c:v>0.1</c:v>
                </c:pt>
                <c:pt idx="3" formatCode="General">
                  <c:v>0.2</c:v>
                </c:pt>
                <c:pt idx="4" formatCode="General">
                  <c:v>0.5</c:v>
                </c:pt>
                <c:pt idx="5" formatCode="General">
                  <c:v>0.8</c:v>
                </c:pt>
                <c:pt idx="6" formatCode="General">
                  <c:v>0.1</c:v>
                </c:pt>
                <c:pt idx="7" formatCode="General">
                  <c:v>0.2</c:v>
                </c:pt>
                <c:pt idx="8" formatCode="General">
                  <c:v>0.313</c:v>
                </c:pt>
                <c:pt idx="9" formatCode="General">
                  <c:v>0.5</c:v>
                </c:pt>
                <c:pt idx="10" formatCode="General">
                  <c:v>0.5</c:v>
                </c:pt>
                <c:pt idx="11" formatCode="General">
                  <c:v>0.5</c:v>
                </c:pt>
                <c:pt idx="12" formatCode="General">
                  <c:v>0.8</c:v>
                </c:pt>
                <c:pt idx="13" formatCode="General">
                  <c:v>0.8</c:v>
                </c:pt>
                <c:pt idx="14" formatCode="General">
                  <c:v>0.8</c:v>
                </c:pt>
                <c:pt idx="15" formatCode="General">
                  <c:v>0.8</c:v>
                </c:pt>
                <c:pt idx="16" formatCode="General">
                  <c:v>0.8</c:v>
                </c:pt>
                <c:pt idx="17" formatCode="General">
                  <c:v>0.85</c:v>
                </c:pt>
                <c:pt idx="18" formatCode="General">
                  <c:v>0.1</c:v>
                </c:pt>
                <c:pt idx="19" formatCode="General">
                  <c:v>0.2</c:v>
                </c:pt>
                <c:pt idx="20" formatCode="General">
                  <c:v>0.2</c:v>
                </c:pt>
                <c:pt idx="21" formatCode="General">
                  <c:v>0.28799999999999998</c:v>
                </c:pt>
                <c:pt idx="22" formatCode="General">
                  <c:v>0.313</c:v>
                </c:pt>
                <c:pt idx="23" formatCode="General">
                  <c:v>0.5</c:v>
                </c:pt>
                <c:pt idx="24" formatCode="General">
                  <c:v>0.5</c:v>
                </c:pt>
                <c:pt idx="25" formatCode="General">
                  <c:v>0.8</c:v>
                </c:pt>
                <c:pt idx="26" formatCode="General">
                  <c:v>0.85</c:v>
                </c:pt>
                <c:pt idx="27" formatCode="General">
                  <c:v>0.1</c:v>
                </c:pt>
                <c:pt idx="28" formatCode="General">
                  <c:v>0.2</c:v>
                </c:pt>
                <c:pt idx="29" formatCode="General">
                  <c:v>0.2</c:v>
                </c:pt>
                <c:pt idx="30" formatCode="General">
                  <c:v>0.28799999999999998</c:v>
                </c:pt>
                <c:pt idx="31" formatCode="General">
                  <c:v>0.313</c:v>
                </c:pt>
                <c:pt idx="32" formatCode="General">
                  <c:v>0.5</c:v>
                </c:pt>
                <c:pt idx="33" formatCode="General">
                  <c:v>0.8</c:v>
                </c:pt>
                <c:pt idx="34" formatCode="General">
                  <c:v>0.85</c:v>
                </c:pt>
                <c:pt idx="35" formatCode="General">
                  <c:v>0.1</c:v>
                </c:pt>
                <c:pt idx="36" formatCode="General">
                  <c:v>0.2</c:v>
                </c:pt>
                <c:pt idx="37" formatCode="General">
                  <c:v>0.2</c:v>
                </c:pt>
                <c:pt idx="38" formatCode="General">
                  <c:v>0.28799999999999998</c:v>
                </c:pt>
                <c:pt idx="39" formatCode="General">
                  <c:v>0.313</c:v>
                </c:pt>
                <c:pt idx="40" formatCode="General">
                  <c:v>0.5</c:v>
                </c:pt>
                <c:pt idx="41" formatCode="General">
                  <c:v>0.85</c:v>
                </c:pt>
                <c:pt idx="42" formatCode="General">
                  <c:v>0.1</c:v>
                </c:pt>
                <c:pt idx="43" formatCode="General">
                  <c:v>0.2</c:v>
                </c:pt>
                <c:pt idx="44" formatCode="General">
                  <c:v>0.28799999999999998</c:v>
                </c:pt>
                <c:pt idx="45" formatCode="General">
                  <c:v>0.313</c:v>
                </c:pt>
                <c:pt idx="46" formatCode="General">
                  <c:v>0.1</c:v>
                </c:pt>
                <c:pt idx="47" formatCode="General">
                  <c:v>0.2</c:v>
                </c:pt>
                <c:pt idx="48" formatCode="General">
                  <c:v>0.313</c:v>
                </c:pt>
                <c:pt idx="49" formatCode="General">
                  <c:v>0.1</c:v>
                </c:pt>
                <c:pt idx="50" formatCode="General">
                  <c:v>0.2</c:v>
                </c:pt>
                <c:pt idx="51" formatCode="General">
                  <c:v>0.1</c:v>
                </c:pt>
                <c:pt idx="52" formatCode="General">
                  <c:v>0.2</c:v>
                </c:pt>
              </c:numCache>
            </c:numRef>
          </c:xVal>
          <c:yVal>
            <c:numRef>
              <c:f>'RipplesSpacing-LP3'!$W$2:$W$82</c:f>
              <c:numCache>
                <c:formatCode>General</c:formatCode>
                <c:ptCount val="79"/>
                <c:pt idx="0">
                  <c:v>1.0083333333333335</c:v>
                </c:pt>
                <c:pt idx="1">
                  <c:v>1.0299999999999998</c:v>
                </c:pt>
                <c:pt idx="2" formatCode="0.00E+00">
                  <c:v>0.94464285714285712</c:v>
                </c:pt>
                <c:pt idx="3" formatCode="0.00E+00">
                  <c:v>0.87968750000000007</c:v>
                </c:pt>
                <c:pt idx="4" formatCode="0.00E+00">
                  <c:v>0.94444444444444453</c:v>
                </c:pt>
                <c:pt idx="5" formatCode="0.00E+00">
                  <c:v>0.94652777777777786</c:v>
                </c:pt>
                <c:pt idx="6" formatCode="0.00E+00">
                  <c:v>0.90989583333333335</c:v>
                </c:pt>
                <c:pt idx="7" formatCode="0.00E+00">
                  <c:v>0.96302083333333333</c:v>
                </c:pt>
                <c:pt idx="8" formatCode="0.00E+00">
                  <c:v>0.77500000000000002</c:v>
                </c:pt>
                <c:pt idx="9" formatCode="0.00E+00">
                  <c:v>0.99027777777777781</c:v>
                </c:pt>
                <c:pt idx="10" formatCode="0.00E+00">
                  <c:v>1.0125</c:v>
                </c:pt>
                <c:pt idx="11" formatCode="0.00E+00">
                  <c:v>1.0018750000000001</c:v>
                </c:pt>
                <c:pt idx="12" formatCode="0.00E+00">
                  <c:v>0.93888888888888888</c:v>
                </c:pt>
                <c:pt idx="13">
                  <c:v>0.87968750000000007</c:v>
                </c:pt>
                <c:pt idx="14">
                  <c:v>1.0604166666666668</c:v>
                </c:pt>
                <c:pt idx="15">
                  <c:v>0.91499999999999992</c:v>
                </c:pt>
                <c:pt idx="16">
                  <c:v>0.8833333333333333</c:v>
                </c:pt>
                <c:pt idx="17" formatCode="0.00E+00">
                  <c:v>0.98125000000000007</c:v>
                </c:pt>
                <c:pt idx="18" formatCode="0.00E+00">
                  <c:v>0.91718750000000004</c:v>
                </c:pt>
                <c:pt idx="19" formatCode="0.00E+00">
                  <c:v>0.93749999999999989</c:v>
                </c:pt>
                <c:pt idx="20" formatCode="0.00E+00">
                  <c:v>0.94473684210526321</c:v>
                </c:pt>
                <c:pt idx="21" formatCode="0.00E+00">
                  <c:v>0.84531250000000002</c:v>
                </c:pt>
                <c:pt idx="22" formatCode="0.00E+00">
                  <c:v>0.86160714285714302</c:v>
                </c:pt>
                <c:pt idx="23" formatCode="0.00E+00">
                  <c:v>0.95480769230769236</c:v>
                </c:pt>
                <c:pt idx="24" formatCode="0.00E+00">
                  <c:v>1.0024999999999999</c:v>
                </c:pt>
                <c:pt idx="25" formatCode="0.00E+00">
                  <c:v>0.92678571428571421</c:v>
                </c:pt>
                <c:pt idx="26" formatCode="0.00E+00">
                  <c:v>0.99375000000000002</c:v>
                </c:pt>
                <c:pt idx="27" formatCode="0.00E+00">
                  <c:v>0.94044117647058845</c:v>
                </c:pt>
                <c:pt idx="28" formatCode="0.00E+00">
                  <c:v>0.94642857142857151</c:v>
                </c:pt>
                <c:pt idx="29" formatCode="0.00E+00">
                  <c:v>0.91770833333333346</c:v>
                </c:pt>
                <c:pt idx="30" formatCode="0.00E+00">
                  <c:v>0.89375000000000004</c:v>
                </c:pt>
                <c:pt idx="31" formatCode="0.00E+00">
                  <c:v>0.80729166666666652</c:v>
                </c:pt>
                <c:pt idx="32" formatCode="0.00E+00">
                  <c:v>0.99</c:v>
                </c:pt>
                <c:pt idx="33" formatCode="0.00E+00">
                  <c:v>1.0274999999999999</c:v>
                </c:pt>
                <c:pt idx="34" formatCode="0.00E+00">
                  <c:v>1.0007812500000002</c:v>
                </c:pt>
                <c:pt idx="35" formatCode="0.00E+00">
                  <c:v>0.97625000000000006</c:v>
                </c:pt>
                <c:pt idx="36" formatCode="0.00E+00">
                  <c:v>0.90486111111111123</c:v>
                </c:pt>
                <c:pt idx="37" formatCode="0.00E+00">
                  <c:v>1.02125</c:v>
                </c:pt>
                <c:pt idx="38" formatCode="0.00E+00">
                  <c:v>0.89375000000000004</c:v>
                </c:pt>
                <c:pt idx="39" formatCode="0.00E+00">
                  <c:v>0.97968749999999993</c:v>
                </c:pt>
                <c:pt idx="40" formatCode="0.00E+00">
                  <c:v>1.0328125000000001</c:v>
                </c:pt>
                <c:pt idx="41" formatCode="0.00E+00">
                  <c:v>1</c:v>
                </c:pt>
                <c:pt idx="42" formatCode="0.00E+00">
                  <c:v>0.90480769230769231</c:v>
                </c:pt>
                <c:pt idx="43" formatCode="0.00E+00">
                  <c:v>0.91874999999999996</c:v>
                </c:pt>
                <c:pt idx="44" formatCode="0.00E+00">
                  <c:v>0.92083333333333339</c:v>
                </c:pt>
                <c:pt idx="45" formatCode="0.00E+00">
                  <c:v>0.93791666666666673</c:v>
                </c:pt>
                <c:pt idx="46" formatCode="0.00E+00">
                  <c:v>0.93238636363636362</c:v>
                </c:pt>
                <c:pt idx="47" formatCode="0.00E+00">
                  <c:v>0.95480769230769236</c:v>
                </c:pt>
                <c:pt idx="48" formatCode="0.00E+00">
                  <c:v>0.99375000000000002</c:v>
                </c:pt>
                <c:pt idx="49" formatCode="0.00E+00">
                  <c:v>1.0057291666666666</c:v>
                </c:pt>
                <c:pt idx="50" formatCode="0.00E+00">
                  <c:v>0.88750000000000007</c:v>
                </c:pt>
                <c:pt idx="51" formatCode="0.00E+00">
                  <c:v>0.97916666666666663</c:v>
                </c:pt>
                <c:pt idx="52" formatCode="0.00E+00">
                  <c:v>0.92500000000000004</c:v>
                </c:pt>
                <c:pt idx="53" formatCode="0.00E+00">
                  <c:v>0.87410714285714286</c:v>
                </c:pt>
                <c:pt idx="54" formatCode="0.00E+00">
                  <c:v>0.92916666666666659</c:v>
                </c:pt>
                <c:pt idx="55">
                  <c:v>0.90625000000000022</c:v>
                </c:pt>
                <c:pt idx="56">
                  <c:v>0.87916666666666676</c:v>
                </c:pt>
                <c:pt idx="57">
                  <c:v>0.96093750000000011</c:v>
                </c:pt>
                <c:pt idx="58">
                  <c:v>0.89375000000000004</c:v>
                </c:pt>
                <c:pt idx="59" formatCode="0.00E+00">
                  <c:v>0.94411764705882351</c:v>
                </c:pt>
                <c:pt idx="60" formatCode="0.00E+00">
                  <c:v>0.9257352941176471</c:v>
                </c:pt>
                <c:pt idx="61" formatCode="0.00E+00">
                  <c:v>0.93562500000000004</c:v>
                </c:pt>
                <c:pt idx="62" formatCode="0.00E+00">
                  <c:v>0.92239583333333319</c:v>
                </c:pt>
                <c:pt idx="63" formatCode="0.00E+00">
                  <c:v>0.85312499999999991</c:v>
                </c:pt>
                <c:pt idx="64" formatCode="0.00E+00">
                  <c:v>0.92281249999999992</c:v>
                </c:pt>
                <c:pt idx="65" formatCode="0.00E+00">
                  <c:v>0.72812500000000002</c:v>
                </c:pt>
                <c:pt idx="66" formatCode="0.00E+00">
                  <c:v>0.90902777777777777</c:v>
                </c:pt>
                <c:pt idx="67" formatCode="0.00E+00">
                  <c:v>0.69086538461538471</c:v>
                </c:pt>
                <c:pt idx="68" formatCode="0.00E+00">
                  <c:v>0.89050000000000007</c:v>
                </c:pt>
                <c:pt idx="69" formatCode="0.00E+00">
                  <c:v>0.84375</c:v>
                </c:pt>
                <c:pt idx="70" formatCode="0.00E+00">
                  <c:v>0.69062500000000004</c:v>
                </c:pt>
                <c:pt idx="71" formatCode="0.00E+00">
                  <c:v>0.87425000000000008</c:v>
                </c:pt>
                <c:pt idx="72" formatCode="0.00E+00">
                  <c:v>0.75192307692307692</c:v>
                </c:pt>
                <c:pt idx="73" formatCode="0.00E+00">
                  <c:v>0.83125000000000004</c:v>
                </c:pt>
                <c:pt idx="74" formatCode="0.00E+00">
                  <c:v>0.68515624999999991</c:v>
                </c:pt>
                <c:pt idx="75" formatCode="0.00E+00">
                  <c:v>0.71843750000000017</c:v>
                </c:pt>
                <c:pt idx="76" formatCode="0.00E+00">
                  <c:v>0.86874999999999991</c:v>
                </c:pt>
                <c:pt idx="77">
                  <c:v>0.5346153846153846</c:v>
                </c:pt>
                <c:pt idx="78">
                  <c:v>0.63461538461538458</c:v>
                </c:pt>
              </c:numCache>
            </c:numRef>
          </c:yVal>
        </c:ser>
        <c:ser>
          <c:idx val="1"/>
          <c:order val="1"/>
          <c:tx>
            <c:v>Litterature</c:v>
          </c:tx>
          <c:spPr>
            <a:ln w="28575">
              <a:noFill/>
            </a:ln>
          </c:spPr>
          <c:errBars>
            <c:errDir val="y"/>
            <c:errBarType val="both"/>
            <c:errValType val="cust"/>
            <c:plus>
              <c:numRef>
                <c:f>'RipplesSpacing-Litteratur'!$Q$6:$Q$12</c:f>
                <c:numCache>
                  <c:formatCode>General</c:formatCode>
                  <c:ptCount val="7"/>
                  <c:pt idx="0">
                    <c:v>5.1948051948051951E-2</c:v>
                  </c:pt>
                  <c:pt idx="1">
                    <c:v>7.1428571428571425E-2</c:v>
                  </c:pt>
                  <c:pt idx="2">
                    <c:v>1.4354066985645933E-2</c:v>
                  </c:pt>
                  <c:pt idx="3">
                    <c:v>2.1985343104596933E-2</c:v>
                  </c:pt>
                  <c:pt idx="4">
                    <c:v>1.447229085774797E-2</c:v>
                  </c:pt>
                  <c:pt idx="5">
                    <c:v>1.0214864388869321E-2</c:v>
                  </c:pt>
                  <c:pt idx="6">
                    <c:v>7.3421439060205582E-2</c:v>
                  </c:pt>
                </c:numCache>
              </c:numRef>
            </c:plus>
            <c:minus>
              <c:numRef>
                <c:f>'RipplesSpacing-Litteratur'!$Q$6:$Q$12</c:f>
                <c:numCache>
                  <c:formatCode>General</c:formatCode>
                  <c:ptCount val="7"/>
                  <c:pt idx="0">
                    <c:v>5.1948051948051951E-2</c:v>
                  </c:pt>
                  <c:pt idx="1">
                    <c:v>7.1428571428571425E-2</c:v>
                  </c:pt>
                  <c:pt idx="2">
                    <c:v>1.4354066985645933E-2</c:v>
                  </c:pt>
                  <c:pt idx="3">
                    <c:v>2.1985343104596933E-2</c:v>
                  </c:pt>
                  <c:pt idx="4">
                    <c:v>1.447229085774797E-2</c:v>
                  </c:pt>
                  <c:pt idx="5">
                    <c:v>1.0214864388869321E-2</c:v>
                  </c:pt>
                  <c:pt idx="6">
                    <c:v>7.3421439060205582E-2</c:v>
                  </c:pt>
                </c:numCache>
              </c:numRef>
            </c:minus>
          </c:errBars>
          <c:xVal>
            <c:numRef>
              <c:f>'RipplesSpacing-Litteratur'!$A$2:$A$66</c:f>
              <c:numCache>
                <c:formatCode>0.00</c:formatCode>
                <c:ptCount val="36"/>
                <c:pt idx="0">
                  <c:v>3.8</c:v>
                </c:pt>
                <c:pt idx="1">
                  <c:v>0.42</c:v>
                </c:pt>
                <c:pt idx="2">
                  <c:v>2.5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0.42</c:v>
                </c:pt>
                <c:pt idx="10">
                  <c:v>0.58296087376011618</c:v>
                </c:pt>
                <c:pt idx="11">
                  <c:v>6.5</c:v>
                </c:pt>
                <c:pt idx="12">
                  <c:v>6.5</c:v>
                </c:pt>
                <c:pt idx="13">
                  <c:v>0.42</c:v>
                </c:pt>
                <c:pt idx="14">
                  <c:v>1.6</c:v>
                </c:pt>
                <c:pt idx="15">
                  <c:v>1.5</c:v>
                </c:pt>
                <c:pt idx="16">
                  <c:v>0.2</c:v>
                </c:pt>
                <c:pt idx="17">
                  <c:v>6.5</c:v>
                </c:pt>
                <c:pt idx="18">
                  <c:v>0.2</c:v>
                </c:pt>
                <c:pt idx="19">
                  <c:v>1</c:v>
                </c:pt>
                <c:pt idx="20">
                  <c:v>0.42</c:v>
                </c:pt>
                <c:pt idx="22">
                  <c:v>0.42</c:v>
                </c:pt>
                <c:pt idx="23">
                  <c:v>0.45</c:v>
                </c:pt>
                <c:pt idx="24">
                  <c:v>0.4</c:v>
                </c:pt>
                <c:pt idx="25">
                  <c:v>4.5300000000000001E-4</c:v>
                </c:pt>
                <c:pt idx="26">
                  <c:v>4.5300000000000001E-4</c:v>
                </c:pt>
                <c:pt idx="27">
                  <c:v>4.5300000000000001E-4</c:v>
                </c:pt>
                <c:pt idx="28">
                  <c:v>4.5300000000000001E-4</c:v>
                </c:pt>
                <c:pt idx="29">
                  <c:v>1</c:v>
                </c:pt>
                <c:pt idx="30">
                  <c:v>1</c:v>
                </c:pt>
                <c:pt idx="33">
                  <c:v>0.192</c:v>
                </c:pt>
                <c:pt idx="35">
                  <c:v>0.48</c:v>
                </c:pt>
              </c:numCache>
            </c:numRef>
          </c:xVal>
          <c:yVal>
            <c:numRef>
              <c:f>'RipplesSpacing-Litteratur'!$B$2:$B$66</c:f>
              <c:numCache>
                <c:formatCode>0.00</c:formatCode>
                <c:ptCount val="36"/>
                <c:pt idx="0">
                  <c:v>0.96250000000000002</c:v>
                </c:pt>
                <c:pt idx="1">
                  <c:v>0.875</c:v>
                </c:pt>
                <c:pt idx="2">
                  <c:v>0.87920673076923073</c:v>
                </c:pt>
                <c:pt idx="3">
                  <c:v>0.893452380952381</c:v>
                </c:pt>
                <c:pt idx="4">
                  <c:v>0.9319078947368421</c:v>
                </c:pt>
                <c:pt idx="5">
                  <c:v>0.93388157894736834</c:v>
                </c:pt>
                <c:pt idx="6">
                  <c:v>0.85124999999999995</c:v>
                </c:pt>
                <c:pt idx="7">
                  <c:v>0.76190476190476186</c:v>
                </c:pt>
                <c:pt idx="8">
                  <c:v>0.80769230769230771</c:v>
                </c:pt>
                <c:pt idx="9">
                  <c:v>0.8125</c:v>
                </c:pt>
                <c:pt idx="10">
                  <c:v>0.82797619047619042</c:v>
                </c:pt>
                <c:pt idx="11">
                  <c:v>0.69287211740041932</c:v>
                </c:pt>
                <c:pt idx="12">
                  <c:v>0.73699256718124639</c:v>
                </c:pt>
                <c:pt idx="13">
                  <c:v>0.74437500000000001</c:v>
                </c:pt>
                <c:pt idx="14">
                  <c:v>0.19633620689655171</c:v>
                </c:pt>
                <c:pt idx="15">
                  <c:v>0.17041666666666669</c:v>
                </c:pt>
                <c:pt idx="16">
                  <c:v>0.73846153846153839</c:v>
                </c:pt>
                <c:pt idx="17">
                  <c:v>0.88050314465408808</c:v>
                </c:pt>
                <c:pt idx="18">
                  <c:v>0.6380341880341881</c:v>
                </c:pt>
                <c:pt idx="19">
                  <c:v>0.24610000000000001</c:v>
                </c:pt>
                <c:pt idx="20">
                  <c:v>0.71944999999999992</c:v>
                </c:pt>
                <c:pt idx="21">
                  <c:v>0.7193732193732193</c:v>
                </c:pt>
                <c:pt idx="22">
                  <c:v>0.70074999999999998</c:v>
                </c:pt>
                <c:pt idx="23">
                  <c:v>0.76687499999999997</c:v>
                </c:pt>
                <c:pt idx="24">
                  <c:v>0.25624999999999998</c:v>
                </c:pt>
                <c:pt idx="25">
                  <c:v>0.8774193548387097</c:v>
                </c:pt>
                <c:pt idx="26">
                  <c:v>0.88387096774193552</c:v>
                </c:pt>
                <c:pt idx="27">
                  <c:v>0.93548387096774188</c:v>
                </c:pt>
                <c:pt idx="28">
                  <c:v>0.93548387096774188</c:v>
                </c:pt>
                <c:pt idx="29">
                  <c:v>0.8094285714285715</c:v>
                </c:pt>
                <c:pt idx="30">
                  <c:v>0.82711111111111113</c:v>
                </c:pt>
                <c:pt idx="31">
                  <c:v>0.25</c:v>
                </c:pt>
                <c:pt idx="32">
                  <c:v>0.625</c:v>
                </c:pt>
                <c:pt idx="33">
                  <c:v>0.93125000000000002</c:v>
                </c:pt>
                <c:pt idx="34">
                  <c:v>0.82499999999999996</c:v>
                </c:pt>
                <c:pt idx="35">
                  <c:v>0.25624999999999998</c:v>
                </c:pt>
              </c:numCache>
            </c:numRef>
          </c:yVal>
        </c:ser>
        <c:axId val="103936384"/>
        <c:axId val="103938304"/>
      </c:scatterChart>
      <c:valAx>
        <c:axId val="103936384"/>
        <c:scaling>
          <c:logBase val="2"/>
          <c:orientation val="minMax"/>
        </c:scaling>
        <c:axPos val="b"/>
        <c:majorGridlines>
          <c:spPr>
            <a:ln>
              <a:solidFill>
                <a:sysClr val="windowText" lastClr="000000">
                  <a:alpha val="21000"/>
                </a:sys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Fluence laser [J/cm²]</a:t>
                </a:r>
              </a:p>
            </c:rich>
          </c:tx>
          <c:layout/>
        </c:title>
        <c:numFmt formatCode="General" sourceLinked="0"/>
        <c:majorTickMark val="in"/>
        <c:minorTickMark val="in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103938304"/>
        <c:crosses val="autoZero"/>
        <c:crossBetween val="midCat"/>
      </c:valAx>
      <c:valAx>
        <c:axId val="103938304"/>
        <c:scaling>
          <c:orientation val="minMax"/>
          <c:max val="1.1000000000000001"/>
          <c:min val="0.60000000000000031"/>
        </c:scaling>
        <c:axPos val="l"/>
        <c:majorGridlines>
          <c:spPr>
            <a:ln>
              <a:solidFill>
                <a:sysClr val="windowText" lastClr="000000">
                  <a:alpha val="20000"/>
                </a:sysClr>
              </a:solidFill>
            </a:ln>
          </c:spPr>
        </c:majorGridlines>
        <c:minorGridlines>
          <c:spPr>
            <a:ln>
              <a:solidFill>
                <a:sysClr val="windowText" lastClr="000000">
                  <a:alpha val="0"/>
                </a:sys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Période</a:t>
                </a:r>
                <a:r>
                  <a:rPr lang="fr-FR" sz="1400" baseline="0"/>
                  <a:t> normalisée</a:t>
                </a:r>
                <a:endParaRPr lang="fr-FR" sz="1400"/>
              </a:p>
            </c:rich>
          </c:tx>
          <c:layout/>
        </c:title>
        <c:numFmt formatCode="General" sourceLinked="0"/>
        <c:majorTickMark val="none"/>
        <c:tickLblPos val="low"/>
        <c:txPr>
          <a:bodyPr/>
          <a:lstStyle/>
          <a:p>
            <a:pPr>
              <a:defRPr sz="1400"/>
            </a:pPr>
            <a:endParaRPr lang="fr-FR"/>
          </a:p>
        </c:txPr>
        <c:crossAx val="103936384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400"/>
          </a:pPr>
          <a:endParaRPr lang="fr-FR"/>
        </a:p>
      </c:txPr>
    </c:legend>
    <c:plotVisOnly val="1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strRef>
              <c:f>'RipplesSpacing-LP3'!$A$82:$AI$82</c:f>
              <c:strCache>
                <c:ptCount val="1"/>
                <c:pt idx="0">
                  <c:v>2,2 6,35E-01 825 8,25E-07 1,35E-07 6,75E-08 16% 8% 20 1,30E+03 1,30E-06 1,50E-13 1,50E-01 Air Gaussian 1,50E-06 1,5 0 sp 1,47E+13 2,93E+14 44,00 0,634615385 2 1,38E-06 1,92E-06 8,25E-07 1,35E-07 16,36%</c:v>
                </c:pt>
              </c:strCache>
            </c:strRef>
          </c:tx>
          <c:xVal>
            <c:strRef>
              <c:f>'RipplesSpacing-LP3'!$AJ$1:$AJ$81</c:f>
              <c:strCache>
                <c:ptCount val="79"/>
                <c:pt idx="0">
                  <c:v>Chemin d'accès réseau LP3</c:v>
                </c:pt>
                <c:pt idx="1">
                  <c:v>\\MEB-JEOL\chloé\ripples à 1 tir\16 juin 2010</c:v>
                </c:pt>
                <c:pt idx="2">
                  <c:v>\\MEB-JEOL\chloé\ripples à 1 tir\16 juin 2010</c:v>
                </c:pt>
                <c:pt idx="10">
                  <c:v>Local</c:v>
                </c:pt>
                <c:pt idx="14">
                  <c:v>\\MEB-JEOL\chloé\onde plasmon ou pas</c:v>
                </c:pt>
                <c:pt idx="15">
                  <c:v>\\MEB-JEOL\chloé\onde plasmon ou pas</c:v>
                </c:pt>
                <c:pt idx="16">
                  <c:v>\\MEB-JEOL\chloé\onde plasmon ou pas</c:v>
                </c:pt>
                <c:pt idx="17">
                  <c:v>\\MEB-JEOL\chloé\onde plasmon ou pas</c:v>
                </c:pt>
                <c:pt idx="20">
                  <c:v>\\MEB-JEOL\Rémi\Pockels 3\F200\Tilt 0</c:v>
                </c:pt>
                <c:pt idx="29">
                  <c:v>\\MEB-JEOL\Rémi\Pockels 3\F200\Tilt 0</c:v>
                </c:pt>
                <c:pt idx="37">
                  <c:v>\\MEB-JEOL\Rémi\Pockels 3\F200\Tilt 0</c:v>
                </c:pt>
                <c:pt idx="48">
                  <c:v>\\MEB-JEOL\Rémi\Pockels 3\F200\Tilt 0</c:v>
                </c:pt>
                <c:pt idx="54">
                  <c:v>\\MEB-JEOL\chloé\onde plasmon ou pas\test pour masque plasmon\25 juin 2010</c:v>
                </c:pt>
                <c:pt idx="55">
                  <c:v>\\MEB-JEOL\chloé\onde plasmon ou pas\test pour masque plasmon\25 juin 2010</c:v>
                </c:pt>
                <c:pt idx="56">
                  <c:v>\\MEB-JEOL\chloé\onde plasmon ou pas\test pour masque plasmon\25 juin 2010</c:v>
                </c:pt>
                <c:pt idx="57">
                  <c:v>\\MEB-JEOL\chloé\onde plasmon ou pas\test pour masque plasmon\25 juin 2010</c:v>
                </c:pt>
                <c:pt idx="58">
                  <c:v>\\MEB-JEOL\chloé\onde plasmon ou pas\test pour masque plasmon\25 juin 2010</c:v>
                </c:pt>
                <c:pt idx="59">
                  <c:v>\\MEB-JEOL\chloé\onde plasmon ou pas\test pour masque plasmon\25 juin 2010</c:v>
                </c:pt>
                <c:pt idx="65">
                  <c:v>\\MEB-JEOL\Rémi\Pockels 3\F200\Tilt 0</c:v>
                </c:pt>
                <c:pt idx="78">
                  <c:v>\\MEB-JEOL\stéphanie\endommagement silicium</c:v>
                </c:pt>
              </c:strCache>
            </c:strRef>
          </c:xVal>
          <c:yVal>
            <c:numRef>
              <c:f>'RipplesSpacing-LP3'!$AJ$82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"/>
          <c:order val="1"/>
          <c:tx>
            <c:v>LP3</c:v>
          </c:tx>
          <c:spPr>
            <a:ln w="28575">
              <a:noFill/>
            </a:ln>
          </c:spPr>
          <c:xVal>
            <c:numRef>
              <c:f>'RipplesSpacing-LP3'!$M$2:$M$62</c:f>
              <c:numCache>
                <c:formatCode>0.00E+00</c:formatCode>
                <c:ptCount val="5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 formatCode="General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 formatCode="General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</c:numCache>
            </c:numRef>
          </c:xVal>
          <c:yVal>
            <c:numRef>
              <c:f>'RipplesSpacing-LP3'!$B$2:$B$62</c:f>
              <c:numCache>
                <c:formatCode>0.00E+00</c:formatCode>
                <c:ptCount val="59"/>
                <c:pt idx="0">
                  <c:v>1.0083333333333335</c:v>
                </c:pt>
                <c:pt idx="1">
                  <c:v>1.0299999999999998</c:v>
                </c:pt>
                <c:pt idx="2">
                  <c:v>0.94464285714285712</c:v>
                </c:pt>
                <c:pt idx="3">
                  <c:v>0.87968749999999996</c:v>
                </c:pt>
                <c:pt idx="4">
                  <c:v>0.94444444444444453</c:v>
                </c:pt>
                <c:pt idx="5">
                  <c:v>0.94652777777777786</c:v>
                </c:pt>
                <c:pt idx="6">
                  <c:v>0.90989583333333324</c:v>
                </c:pt>
                <c:pt idx="7">
                  <c:v>0.96302083333333333</c:v>
                </c:pt>
                <c:pt idx="8">
                  <c:v>0.9</c:v>
                </c:pt>
                <c:pt idx="9">
                  <c:v>0.9902777777777777</c:v>
                </c:pt>
                <c:pt idx="10">
                  <c:v>1.0125</c:v>
                </c:pt>
                <c:pt idx="11">
                  <c:v>1.0018750000000001</c:v>
                </c:pt>
                <c:pt idx="12">
                  <c:v>0.93888888888888888</c:v>
                </c:pt>
                <c:pt idx="13">
                  <c:v>0.87968749999999996</c:v>
                </c:pt>
                <c:pt idx="14">
                  <c:v>1.0604166666666668</c:v>
                </c:pt>
                <c:pt idx="15">
                  <c:v>0.91499999999999981</c:v>
                </c:pt>
                <c:pt idx="16">
                  <c:v>0.8833333333333333</c:v>
                </c:pt>
                <c:pt idx="17">
                  <c:v>0.98124999999999996</c:v>
                </c:pt>
                <c:pt idx="18">
                  <c:v>0.91718750000000004</c:v>
                </c:pt>
                <c:pt idx="19">
                  <c:v>0.93749999999999989</c:v>
                </c:pt>
                <c:pt idx="20">
                  <c:v>0.9447368421052631</c:v>
                </c:pt>
                <c:pt idx="21">
                  <c:v>0.84531250000000002</c:v>
                </c:pt>
                <c:pt idx="22">
                  <c:v>0.8616071428571429</c:v>
                </c:pt>
                <c:pt idx="23">
                  <c:v>0.95480769230769225</c:v>
                </c:pt>
                <c:pt idx="24">
                  <c:v>1.0024999999999999</c:v>
                </c:pt>
                <c:pt idx="25">
                  <c:v>0.92678571428571421</c:v>
                </c:pt>
                <c:pt idx="26">
                  <c:v>0.99375000000000002</c:v>
                </c:pt>
                <c:pt idx="27">
                  <c:v>0.94044117647058845</c:v>
                </c:pt>
                <c:pt idx="28">
                  <c:v>0.9464285714285714</c:v>
                </c:pt>
                <c:pt idx="29">
                  <c:v>0.91770833333333346</c:v>
                </c:pt>
                <c:pt idx="30">
                  <c:v>0.89375000000000004</c:v>
                </c:pt>
                <c:pt idx="31">
                  <c:v>0.80729166666666652</c:v>
                </c:pt>
                <c:pt idx="32">
                  <c:v>0.99</c:v>
                </c:pt>
                <c:pt idx="33">
                  <c:v>1.0274999999999999</c:v>
                </c:pt>
                <c:pt idx="34">
                  <c:v>1.0007812500000002</c:v>
                </c:pt>
                <c:pt idx="35">
                  <c:v>0.97624999999999995</c:v>
                </c:pt>
                <c:pt idx="36">
                  <c:v>0.90486111111111112</c:v>
                </c:pt>
                <c:pt idx="37">
                  <c:v>1.02125</c:v>
                </c:pt>
                <c:pt idx="38">
                  <c:v>0.89375000000000004</c:v>
                </c:pt>
                <c:pt idx="39">
                  <c:v>0.97968749999999982</c:v>
                </c:pt>
                <c:pt idx="40">
                  <c:v>1.0328124999999999</c:v>
                </c:pt>
                <c:pt idx="41">
                  <c:v>1</c:v>
                </c:pt>
                <c:pt idx="42">
                  <c:v>0.90480769230769231</c:v>
                </c:pt>
                <c:pt idx="43">
                  <c:v>0.91874999999999996</c:v>
                </c:pt>
                <c:pt idx="44">
                  <c:v>0.92083333333333328</c:v>
                </c:pt>
                <c:pt idx="45">
                  <c:v>0.93791666666666673</c:v>
                </c:pt>
                <c:pt idx="46">
                  <c:v>0.93238636363636362</c:v>
                </c:pt>
                <c:pt idx="47">
                  <c:v>0.95480769230769225</c:v>
                </c:pt>
                <c:pt idx="48">
                  <c:v>0.99375000000000002</c:v>
                </c:pt>
                <c:pt idx="49">
                  <c:v>1.0057291666666666</c:v>
                </c:pt>
                <c:pt idx="50">
                  <c:v>0.88749999999999996</c:v>
                </c:pt>
                <c:pt idx="51">
                  <c:v>0.97916666666666652</c:v>
                </c:pt>
                <c:pt idx="52">
                  <c:v>0.92500000000000004</c:v>
                </c:pt>
                <c:pt idx="53">
                  <c:v>0.87410714285714275</c:v>
                </c:pt>
                <c:pt idx="54">
                  <c:v>0.92916666666666659</c:v>
                </c:pt>
                <c:pt idx="55">
                  <c:v>0.90625000000000011</c:v>
                </c:pt>
                <c:pt idx="56">
                  <c:v>0.87916666666666676</c:v>
                </c:pt>
                <c:pt idx="57">
                  <c:v>0.9609375</c:v>
                </c:pt>
                <c:pt idx="58">
                  <c:v>0.89375000000000004</c:v>
                </c:pt>
              </c:numCache>
            </c:numRef>
          </c:yVal>
        </c:ser>
        <c:ser>
          <c:idx val="2"/>
          <c:order val="2"/>
          <c:tx>
            <c:v>Litterature</c:v>
          </c:tx>
          <c:spPr>
            <a:ln w="28575">
              <a:noFill/>
            </a:ln>
          </c:spPr>
          <c:xVal>
            <c:numRef>
              <c:f>'RipplesSpacing-Litteratur'!$H$2:$H$66</c:f>
              <c:numCache>
                <c:formatCode>General</c:formatCode>
                <c:ptCount val="36"/>
                <c:pt idx="0">
                  <c:v>0.13</c:v>
                </c:pt>
                <c:pt idx="1">
                  <c:v>0.13</c:v>
                </c:pt>
                <c:pt idx="2" formatCode="0.00E+00">
                  <c:v>5.0000000000000001E-3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0.2</c:v>
                </c:pt>
                <c:pt idx="11">
                  <c:v>0.19</c:v>
                </c:pt>
                <c:pt idx="12">
                  <c:v>0.19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0.19</c:v>
                </c:pt>
                <c:pt idx="18">
                  <c:v>0.09</c:v>
                </c:pt>
                <c:pt idx="19">
                  <c:v>0.08</c:v>
                </c:pt>
                <c:pt idx="20">
                  <c:v>0.13</c:v>
                </c:pt>
                <c:pt idx="21">
                  <c:v>0.1</c:v>
                </c:pt>
                <c:pt idx="22">
                  <c:v>0.13</c:v>
                </c:pt>
                <c:pt idx="23">
                  <c:v>0.13</c:v>
                </c:pt>
                <c:pt idx="24">
                  <c:v>0.1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0.08</c:v>
                </c:pt>
                <c:pt idx="30" formatCode="0.00E+00">
                  <c:v>0.1</c:v>
                </c:pt>
                <c:pt idx="31">
                  <c:v>0.1</c:v>
                </c:pt>
                <c:pt idx="32">
                  <c:v>0.1</c:v>
                </c:pt>
                <c:pt idx="33" formatCode="0.00E+00">
                  <c:v>0.12</c:v>
                </c:pt>
                <c:pt idx="34" formatCode="0.00E+00">
                  <c:v>0.12</c:v>
                </c:pt>
                <c:pt idx="35" formatCode="0.00E+00">
                  <c:v>0.12</c:v>
                </c:pt>
              </c:numCache>
            </c:numRef>
          </c:xVal>
          <c:yVal>
            <c:numRef>
              <c:f>'RipplesSpacing-Litteratur'!$B$2:$B$66</c:f>
              <c:numCache>
                <c:formatCode>0.00</c:formatCode>
                <c:ptCount val="36"/>
                <c:pt idx="0">
                  <c:v>0.96250000000000002</c:v>
                </c:pt>
                <c:pt idx="1">
                  <c:v>0.875</c:v>
                </c:pt>
                <c:pt idx="2">
                  <c:v>0.87920673076923073</c:v>
                </c:pt>
                <c:pt idx="3">
                  <c:v>0.893452380952381</c:v>
                </c:pt>
                <c:pt idx="4">
                  <c:v>0.9319078947368421</c:v>
                </c:pt>
                <c:pt idx="5">
                  <c:v>0.93388157894736834</c:v>
                </c:pt>
                <c:pt idx="6">
                  <c:v>0.85124999999999995</c:v>
                </c:pt>
                <c:pt idx="7">
                  <c:v>0.76190476190476186</c:v>
                </c:pt>
                <c:pt idx="8">
                  <c:v>0.80769230769230771</c:v>
                </c:pt>
                <c:pt idx="9">
                  <c:v>0.8125</c:v>
                </c:pt>
                <c:pt idx="10">
                  <c:v>0.82797619047619042</c:v>
                </c:pt>
                <c:pt idx="11">
                  <c:v>0.69287211740041932</c:v>
                </c:pt>
                <c:pt idx="12">
                  <c:v>0.73699256718124639</c:v>
                </c:pt>
                <c:pt idx="13">
                  <c:v>0.74437500000000001</c:v>
                </c:pt>
                <c:pt idx="14">
                  <c:v>0.19633620689655171</c:v>
                </c:pt>
                <c:pt idx="15">
                  <c:v>0.17041666666666669</c:v>
                </c:pt>
                <c:pt idx="16">
                  <c:v>0.73846153846153839</c:v>
                </c:pt>
                <c:pt idx="17">
                  <c:v>0.88050314465408808</c:v>
                </c:pt>
                <c:pt idx="18">
                  <c:v>0.6380341880341881</c:v>
                </c:pt>
                <c:pt idx="19">
                  <c:v>0.24610000000000001</c:v>
                </c:pt>
                <c:pt idx="20">
                  <c:v>0.71944999999999992</c:v>
                </c:pt>
                <c:pt idx="21">
                  <c:v>0.7193732193732193</c:v>
                </c:pt>
                <c:pt idx="22">
                  <c:v>0.70074999999999998</c:v>
                </c:pt>
                <c:pt idx="23">
                  <c:v>0.76687499999999997</c:v>
                </c:pt>
                <c:pt idx="24">
                  <c:v>0.25624999999999998</c:v>
                </c:pt>
                <c:pt idx="25">
                  <c:v>0.8774193548387097</c:v>
                </c:pt>
                <c:pt idx="26">
                  <c:v>0.88387096774193552</c:v>
                </c:pt>
                <c:pt idx="27">
                  <c:v>0.93548387096774188</c:v>
                </c:pt>
                <c:pt idx="28">
                  <c:v>0.93548387096774188</c:v>
                </c:pt>
                <c:pt idx="29">
                  <c:v>0.8094285714285715</c:v>
                </c:pt>
                <c:pt idx="30">
                  <c:v>0.82711111111111113</c:v>
                </c:pt>
                <c:pt idx="31">
                  <c:v>0.25</c:v>
                </c:pt>
                <c:pt idx="32">
                  <c:v>0.625</c:v>
                </c:pt>
                <c:pt idx="33">
                  <c:v>0.93125000000000002</c:v>
                </c:pt>
                <c:pt idx="34">
                  <c:v>0.82499999999999996</c:v>
                </c:pt>
                <c:pt idx="35">
                  <c:v>0.25624999999999998</c:v>
                </c:pt>
              </c:numCache>
            </c:numRef>
          </c:yVal>
        </c:ser>
        <c:axId val="103988608"/>
        <c:axId val="104006784"/>
      </c:scatterChart>
      <c:valAx>
        <c:axId val="103988608"/>
        <c:scaling>
          <c:logBase val="10"/>
          <c:orientation val="minMax"/>
        </c:scaling>
        <c:axPos val="b"/>
        <c:numFmt formatCode="0.00E+00" sourceLinked="1"/>
        <c:tickLblPos val="nextTo"/>
        <c:crossAx val="104006784"/>
        <c:crosses val="autoZero"/>
        <c:crossBetween val="midCat"/>
      </c:valAx>
      <c:valAx>
        <c:axId val="104006784"/>
        <c:scaling>
          <c:orientation val="minMax"/>
        </c:scaling>
        <c:axPos val="l"/>
        <c:majorGridlines/>
        <c:numFmt formatCode="General" sourceLinked="1"/>
        <c:tickLblPos val="nextTo"/>
        <c:crossAx val="103988608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scatterChart>
        <c:scatterStyle val="lineMarker"/>
        <c:ser>
          <c:idx val="0"/>
          <c:order val="0"/>
          <c:tx>
            <c:v>LP3, F=0.8, N=3</c:v>
          </c:tx>
          <c:spPr>
            <a:ln w="28575">
              <a:noFill/>
            </a:ln>
          </c:spPr>
          <c:marker>
            <c:symbol val="x"/>
            <c:size val="7"/>
          </c:marker>
          <c:xVal>
            <c:numRef>
              <c:f>'RipplesSpacing-LP3'!$Q$77:$Q$80</c:f>
              <c:numCache>
                <c:formatCode>General</c:formatCode>
                <c:ptCount val="4"/>
              </c:numCache>
            </c:numRef>
          </c:xVal>
          <c:yVal>
            <c:numRef>
              <c:f>'RipplesSpacing-LP3'!$W$77:$W$80</c:f>
              <c:numCache>
                <c:formatCode>0.00E+00</c:formatCode>
                <c:ptCount val="4"/>
                <c:pt idx="0">
                  <c:v>0.83125000000000004</c:v>
                </c:pt>
                <c:pt idx="1">
                  <c:v>0.68515624999999991</c:v>
                </c:pt>
                <c:pt idx="2">
                  <c:v>0.71843750000000017</c:v>
                </c:pt>
                <c:pt idx="3">
                  <c:v>0.86874999999999991</c:v>
                </c:pt>
              </c:numCache>
            </c:numRef>
          </c:yVal>
        </c:ser>
        <c:ser>
          <c:idx val="1"/>
          <c:order val="1"/>
          <c:tx>
            <c:v>LP3, F=1.15, N=1</c:v>
          </c:tx>
          <c:spPr>
            <a:ln w="28575">
              <a:noFill/>
            </a:ln>
          </c:spPr>
          <c:marker>
            <c:symbol val="plus"/>
            <c:size val="7"/>
          </c:marker>
          <c:xVal>
            <c:numRef>
              <c:f>'RipplesSpacing-LP3'!$Q$75:$Q$76</c:f>
              <c:numCache>
                <c:formatCode>General</c:formatCode>
                <c:ptCount val="2"/>
              </c:numCache>
            </c:numRef>
          </c:xVal>
          <c:yVal>
            <c:numRef>
              <c:f>'RipplesSpacing-LP3'!$W$75:$W$76</c:f>
              <c:numCache>
                <c:formatCode>0.00E+00</c:formatCode>
                <c:ptCount val="2"/>
                <c:pt idx="0">
                  <c:v>0.87425000000000008</c:v>
                </c:pt>
                <c:pt idx="1">
                  <c:v>0.75192307692307692</c:v>
                </c:pt>
              </c:numCache>
            </c:numRef>
          </c:yVal>
        </c:ser>
        <c:ser>
          <c:idx val="2"/>
          <c:order val="2"/>
          <c:tx>
            <c:v>Litterature</c:v>
          </c:tx>
          <c:spPr>
            <a:ln w="28575">
              <a:noFill/>
            </a:ln>
          </c:spPr>
          <c:xVal>
            <c:numRef>
              <c:f>'RipplesSpacing-Litteratur'!$AI$31:$AI$66</c:f>
              <c:numCache>
                <c:formatCode>0.00</c:formatCode>
                <c:ptCount val="13"/>
                <c:pt idx="1">
                  <c:v>100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7">
                  <c:v>123</c:v>
                </c:pt>
                <c:pt idx="8">
                  <c:v>100</c:v>
                </c:pt>
                <c:pt idx="9">
                  <c:v>100</c:v>
                </c:pt>
              </c:numCache>
            </c:numRef>
          </c:xVal>
          <c:yVal>
            <c:numRef>
              <c:f>'RipplesSpacing-Litteratur'!$B$6:$B$48</c:f>
              <c:numCache>
                <c:formatCode>0.00</c:formatCode>
                <c:ptCount val="33"/>
                <c:pt idx="0">
                  <c:v>0.96250000000000002</c:v>
                </c:pt>
                <c:pt idx="1">
                  <c:v>0.875</c:v>
                </c:pt>
                <c:pt idx="2">
                  <c:v>0.87920673076923073</c:v>
                </c:pt>
                <c:pt idx="3">
                  <c:v>0.893452380952381</c:v>
                </c:pt>
                <c:pt idx="4">
                  <c:v>0.9319078947368421</c:v>
                </c:pt>
                <c:pt idx="5">
                  <c:v>0.93388157894736834</c:v>
                </c:pt>
                <c:pt idx="6">
                  <c:v>0.85124999999999995</c:v>
                </c:pt>
                <c:pt idx="7">
                  <c:v>0.76190476190476186</c:v>
                </c:pt>
                <c:pt idx="8">
                  <c:v>0.80769230769230771</c:v>
                </c:pt>
                <c:pt idx="9">
                  <c:v>0.8125</c:v>
                </c:pt>
                <c:pt idx="10">
                  <c:v>0.82797619047619042</c:v>
                </c:pt>
                <c:pt idx="11">
                  <c:v>0.69287211740041932</c:v>
                </c:pt>
                <c:pt idx="12">
                  <c:v>0.73699256718124639</c:v>
                </c:pt>
                <c:pt idx="13">
                  <c:v>0.74437500000000001</c:v>
                </c:pt>
                <c:pt idx="14">
                  <c:v>0.19633620689655171</c:v>
                </c:pt>
                <c:pt idx="15">
                  <c:v>0.17041666666666669</c:v>
                </c:pt>
                <c:pt idx="16">
                  <c:v>0.73846153846153839</c:v>
                </c:pt>
                <c:pt idx="17">
                  <c:v>0.88050314465408808</c:v>
                </c:pt>
                <c:pt idx="18">
                  <c:v>0.6380341880341881</c:v>
                </c:pt>
                <c:pt idx="19">
                  <c:v>0.24610000000000001</c:v>
                </c:pt>
                <c:pt idx="20">
                  <c:v>0.71944999999999992</c:v>
                </c:pt>
                <c:pt idx="21">
                  <c:v>0.7193732193732193</c:v>
                </c:pt>
                <c:pt idx="22">
                  <c:v>0.70074999999999998</c:v>
                </c:pt>
                <c:pt idx="23">
                  <c:v>0.76687499999999997</c:v>
                </c:pt>
                <c:pt idx="24">
                  <c:v>0.25624999999999998</c:v>
                </c:pt>
                <c:pt idx="25">
                  <c:v>0.8774193548387097</c:v>
                </c:pt>
                <c:pt idx="26">
                  <c:v>0.88387096774193552</c:v>
                </c:pt>
                <c:pt idx="27">
                  <c:v>0.93548387096774188</c:v>
                </c:pt>
                <c:pt idx="28">
                  <c:v>0.93548387096774188</c:v>
                </c:pt>
                <c:pt idx="29">
                  <c:v>0.8094285714285715</c:v>
                </c:pt>
                <c:pt idx="30">
                  <c:v>0.82711111111111113</c:v>
                </c:pt>
                <c:pt idx="31">
                  <c:v>0.25</c:v>
                </c:pt>
                <c:pt idx="32">
                  <c:v>0.625</c:v>
                </c:pt>
              </c:numCache>
            </c:numRef>
          </c:yVal>
        </c:ser>
        <c:ser>
          <c:idx val="3"/>
          <c:order val="3"/>
          <c:tx>
            <c:v>LP3 all</c:v>
          </c:tx>
          <c:spPr>
            <a:ln w="28575">
              <a:noFill/>
            </a:ln>
          </c:spPr>
          <c:xVal>
            <c:numRef>
              <c:f>'RipplesSpacing-LP3'!$Q$64:$Q$82</c:f>
              <c:numCache>
                <c:formatCode>General</c:formatCode>
                <c:ptCount val="19"/>
                <c:pt idx="17" formatCode="0.0">
                  <c:v>1.5</c:v>
                </c:pt>
                <c:pt idx="18" formatCode="0.0">
                  <c:v>1.5</c:v>
                </c:pt>
              </c:numCache>
            </c:numRef>
          </c:xVal>
          <c:yVal>
            <c:numRef>
              <c:f>'RipplesSpacing-LP3'!$W$64:$W$82</c:f>
              <c:numCache>
                <c:formatCode>0.00E+00</c:formatCode>
                <c:ptCount val="19"/>
                <c:pt idx="0">
                  <c:v>0.9257352941176471</c:v>
                </c:pt>
                <c:pt idx="1">
                  <c:v>0.93562500000000004</c:v>
                </c:pt>
                <c:pt idx="2">
                  <c:v>0.92239583333333319</c:v>
                </c:pt>
                <c:pt idx="3">
                  <c:v>0.85312499999999991</c:v>
                </c:pt>
                <c:pt idx="4">
                  <c:v>0.92281249999999992</c:v>
                </c:pt>
                <c:pt idx="5">
                  <c:v>0.72812500000000002</c:v>
                </c:pt>
                <c:pt idx="6">
                  <c:v>0.90902777777777777</c:v>
                </c:pt>
                <c:pt idx="7">
                  <c:v>0.69086538461538471</c:v>
                </c:pt>
                <c:pt idx="8">
                  <c:v>0.89050000000000007</c:v>
                </c:pt>
                <c:pt idx="9">
                  <c:v>0.84375</c:v>
                </c:pt>
                <c:pt idx="10">
                  <c:v>0.69062500000000004</c:v>
                </c:pt>
                <c:pt idx="11">
                  <c:v>0.87425000000000008</c:v>
                </c:pt>
                <c:pt idx="12">
                  <c:v>0.75192307692307692</c:v>
                </c:pt>
                <c:pt idx="13">
                  <c:v>0.83125000000000004</c:v>
                </c:pt>
                <c:pt idx="14">
                  <c:v>0.68515624999999991</c:v>
                </c:pt>
                <c:pt idx="15">
                  <c:v>0.71843750000000017</c:v>
                </c:pt>
                <c:pt idx="16">
                  <c:v>0.86874999999999991</c:v>
                </c:pt>
                <c:pt idx="17" formatCode="General">
                  <c:v>0.5346153846153846</c:v>
                </c:pt>
                <c:pt idx="18" formatCode="General">
                  <c:v>0.63461538461538458</c:v>
                </c:pt>
              </c:numCache>
            </c:numRef>
          </c:yVal>
        </c:ser>
        <c:ser>
          <c:idx val="4"/>
          <c:order val="4"/>
          <c:tx>
            <c:v>LP3</c:v>
          </c:tx>
          <c:spPr>
            <a:ln w="28575">
              <a:noFill/>
            </a:ln>
          </c:spPr>
          <c:xVal>
            <c:numRef>
              <c:f>'RipplesSpacing-LP3'!$Q$2:$Q$115</c:f>
              <c:numCache>
                <c:formatCode>0.0</c:formatCode>
                <c:ptCount val="112"/>
                <c:pt idx="0">
                  <c:v>33.699999999999996</c:v>
                </c:pt>
                <c:pt idx="1">
                  <c:v>33.699999999999996</c:v>
                </c:pt>
                <c:pt idx="13">
                  <c:v>4.57</c:v>
                </c:pt>
                <c:pt idx="14">
                  <c:v>6.12</c:v>
                </c:pt>
                <c:pt idx="15">
                  <c:v>5.32</c:v>
                </c:pt>
                <c:pt idx="16">
                  <c:v>14.84</c:v>
                </c:pt>
                <c:pt idx="53">
                  <c:v>20</c:v>
                </c:pt>
                <c:pt idx="54">
                  <c:v>4.53</c:v>
                </c:pt>
                <c:pt idx="55">
                  <c:v>6.7</c:v>
                </c:pt>
                <c:pt idx="56">
                  <c:v>5.29</c:v>
                </c:pt>
                <c:pt idx="57">
                  <c:v>15</c:v>
                </c:pt>
                <c:pt idx="58">
                  <c:v>14</c:v>
                </c:pt>
                <c:pt idx="77">
                  <c:v>1.5</c:v>
                </c:pt>
                <c:pt idx="78">
                  <c:v>1.5</c:v>
                </c:pt>
                <c:pt idx="79" formatCode="General">
                  <c:v>31</c:v>
                </c:pt>
                <c:pt idx="80" formatCode="General">
                  <c:v>32</c:v>
                </c:pt>
                <c:pt idx="81" formatCode="General">
                  <c:v>32</c:v>
                </c:pt>
                <c:pt idx="82" formatCode="General">
                  <c:v>35</c:v>
                </c:pt>
                <c:pt idx="108" formatCode="General">
                  <c:v>10</c:v>
                </c:pt>
                <c:pt idx="109" formatCode="General">
                  <c:v>13.1</c:v>
                </c:pt>
                <c:pt idx="110" formatCode="General">
                  <c:v>15.4</c:v>
                </c:pt>
                <c:pt idx="111" formatCode="General">
                  <c:v>20</c:v>
                </c:pt>
              </c:numCache>
            </c:numRef>
          </c:xVal>
          <c:yVal>
            <c:numRef>
              <c:f>'RipplesSpacing-LP3'!$B$2:$B$115</c:f>
              <c:numCache>
                <c:formatCode>0.00E+00</c:formatCode>
                <c:ptCount val="112"/>
                <c:pt idx="0">
                  <c:v>1.0083333333333335</c:v>
                </c:pt>
                <c:pt idx="1">
                  <c:v>1.0299999999999998</c:v>
                </c:pt>
                <c:pt idx="2">
                  <c:v>0.94464285714285712</c:v>
                </c:pt>
                <c:pt idx="3">
                  <c:v>0.87968749999999996</c:v>
                </c:pt>
                <c:pt idx="4">
                  <c:v>0.94444444444444453</c:v>
                </c:pt>
                <c:pt idx="5">
                  <c:v>0.94652777777777786</c:v>
                </c:pt>
                <c:pt idx="6">
                  <c:v>0.90989583333333324</c:v>
                </c:pt>
                <c:pt idx="7">
                  <c:v>0.96302083333333333</c:v>
                </c:pt>
                <c:pt idx="8">
                  <c:v>0.9</c:v>
                </c:pt>
                <c:pt idx="9">
                  <c:v>0.9902777777777777</c:v>
                </c:pt>
                <c:pt idx="10">
                  <c:v>1.0125</c:v>
                </c:pt>
                <c:pt idx="11">
                  <c:v>1.0018750000000001</c:v>
                </c:pt>
                <c:pt idx="12">
                  <c:v>0.93888888888888888</c:v>
                </c:pt>
                <c:pt idx="13">
                  <c:v>0.87968749999999996</c:v>
                </c:pt>
                <c:pt idx="14">
                  <c:v>1.0604166666666668</c:v>
                </c:pt>
                <c:pt idx="15">
                  <c:v>0.91499999999999981</c:v>
                </c:pt>
                <c:pt idx="16">
                  <c:v>0.8833333333333333</c:v>
                </c:pt>
                <c:pt idx="17">
                  <c:v>0.98124999999999996</c:v>
                </c:pt>
                <c:pt idx="18">
                  <c:v>0.91718750000000004</c:v>
                </c:pt>
                <c:pt idx="19">
                  <c:v>0.93749999999999989</c:v>
                </c:pt>
                <c:pt idx="20">
                  <c:v>0.9447368421052631</c:v>
                </c:pt>
                <c:pt idx="21">
                  <c:v>0.84531250000000002</c:v>
                </c:pt>
                <c:pt idx="22">
                  <c:v>0.8616071428571429</c:v>
                </c:pt>
                <c:pt idx="23">
                  <c:v>0.95480769230769225</c:v>
                </c:pt>
                <c:pt idx="24">
                  <c:v>1.0024999999999999</c:v>
                </c:pt>
                <c:pt idx="25">
                  <c:v>0.92678571428571421</c:v>
                </c:pt>
                <c:pt idx="26">
                  <c:v>0.99375000000000002</c:v>
                </c:pt>
                <c:pt idx="27">
                  <c:v>0.94044117647058845</c:v>
                </c:pt>
                <c:pt idx="28">
                  <c:v>0.9464285714285714</c:v>
                </c:pt>
                <c:pt idx="29">
                  <c:v>0.91770833333333346</c:v>
                </c:pt>
                <c:pt idx="30">
                  <c:v>0.89375000000000004</c:v>
                </c:pt>
                <c:pt idx="31">
                  <c:v>0.80729166666666652</c:v>
                </c:pt>
                <c:pt idx="32">
                  <c:v>0.99</c:v>
                </c:pt>
                <c:pt idx="33">
                  <c:v>1.0274999999999999</c:v>
                </c:pt>
                <c:pt idx="34">
                  <c:v>1.0007812500000002</c:v>
                </c:pt>
                <c:pt idx="35">
                  <c:v>0.97624999999999995</c:v>
                </c:pt>
                <c:pt idx="36">
                  <c:v>0.90486111111111112</c:v>
                </c:pt>
                <c:pt idx="37">
                  <c:v>1.02125</c:v>
                </c:pt>
                <c:pt idx="38">
                  <c:v>0.89375000000000004</c:v>
                </c:pt>
                <c:pt idx="39">
                  <c:v>0.97968749999999982</c:v>
                </c:pt>
                <c:pt idx="40">
                  <c:v>1.0328124999999999</c:v>
                </c:pt>
                <c:pt idx="41">
                  <c:v>1</c:v>
                </c:pt>
                <c:pt idx="42">
                  <c:v>0.90480769230769231</c:v>
                </c:pt>
                <c:pt idx="43">
                  <c:v>0.91874999999999996</c:v>
                </c:pt>
                <c:pt idx="44">
                  <c:v>0.92083333333333328</c:v>
                </c:pt>
                <c:pt idx="45">
                  <c:v>0.93791666666666673</c:v>
                </c:pt>
                <c:pt idx="46">
                  <c:v>0.93238636363636362</c:v>
                </c:pt>
                <c:pt idx="47">
                  <c:v>0.95480769230769225</c:v>
                </c:pt>
                <c:pt idx="48">
                  <c:v>0.99375000000000002</c:v>
                </c:pt>
                <c:pt idx="49">
                  <c:v>1.0057291666666666</c:v>
                </c:pt>
                <c:pt idx="50">
                  <c:v>0.88749999999999996</c:v>
                </c:pt>
                <c:pt idx="51">
                  <c:v>0.97916666666666652</c:v>
                </c:pt>
                <c:pt idx="52">
                  <c:v>0.92500000000000004</c:v>
                </c:pt>
                <c:pt idx="53">
                  <c:v>0.87410714285714275</c:v>
                </c:pt>
                <c:pt idx="54">
                  <c:v>0.92916666666666659</c:v>
                </c:pt>
                <c:pt idx="55">
                  <c:v>0.90625000000000011</c:v>
                </c:pt>
                <c:pt idx="56">
                  <c:v>0.87916666666666676</c:v>
                </c:pt>
                <c:pt idx="57">
                  <c:v>0.9609375</c:v>
                </c:pt>
                <c:pt idx="58">
                  <c:v>0.89375000000000004</c:v>
                </c:pt>
                <c:pt idx="59">
                  <c:v>0.94411764705882351</c:v>
                </c:pt>
                <c:pt idx="60">
                  <c:v>0.9257352941176471</c:v>
                </c:pt>
                <c:pt idx="61">
                  <c:v>0.93562500000000004</c:v>
                </c:pt>
                <c:pt idx="62">
                  <c:v>0.92239583333333319</c:v>
                </c:pt>
                <c:pt idx="63">
                  <c:v>0.85312499999999991</c:v>
                </c:pt>
                <c:pt idx="64">
                  <c:v>0.92281249999999981</c:v>
                </c:pt>
                <c:pt idx="65">
                  <c:v>0.89374999999999982</c:v>
                </c:pt>
                <c:pt idx="66">
                  <c:v>0.90902777777777777</c:v>
                </c:pt>
                <c:pt idx="67">
                  <c:v>0.86874999999999991</c:v>
                </c:pt>
                <c:pt idx="68">
                  <c:v>0.89050000000000007</c:v>
                </c:pt>
                <c:pt idx="69">
                  <c:v>0.84375</c:v>
                </c:pt>
                <c:pt idx="70">
                  <c:v>0.69062500000000004</c:v>
                </c:pt>
                <c:pt idx="71">
                  <c:v>0.87424999999999997</c:v>
                </c:pt>
                <c:pt idx="72">
                  <c:v>0.75192307692307692</c:v>
                </c:pt>
                <c:pt idx="73">
                  <c:v>0.83125000000000004</c:v>
                </c:pt>
                <c:pt idx="74">
                  <c:v>0.68515624999999991</c:v>
                </c:pt>
                <c:pt idx="75">
                  <c:v>0.71843750000000017</c:v>
                </c:pt>
                <c:pt idx="76">
                  <c:v>0.86874999999999991</c:v>
                </c:pt>
                <c:pt idx="77">
                  <c:v>0.5346153846153846</c:v>
                </c:pt>
                <c:pt idx="78">
                  <c:v>0.63461538461538458</c:v>
                </c:pt>
                <c:pt idx="79">
                  <c:v>0.77500000000000002</c:v>
                </c:pt>
                <c:pt idx="80">
                  <c:v>0.77500000000000002</c:v>
                </c:pt>
                <c:pt idx="81">
                  <c:v>0.8</c:v>
                </c:pt>
                <c:pt idx="82">
                  <c:v>0.75</c:v>
                </c:pt>
                <c:pt idx="83">
                  <c:v>0.75624999999999998</c:v>
                </c:pt>
                <c:pt idx="84">
                  <c:v>0.77500000000000002</c:v>
                </c:pt>
                <c:pt idx="85">
                  <c:v>0.78125</c:v>
                </c:pt>
                <c:pt idx="108">
                  <c:v>0</c:v>
                </c:pt>
                <c:pt idx="109">
                  <c:v>0.86250000000000004</c:v>
                </c:pt>
                <c:pt idx="110">
                  <c:v>0.83125000000000004</c:v>
                </c:pt>
                <c:pt idx="111">
                  <c:v>0.85</c:v>
                </c:pt>
              </c:numCache>
            </c:numRef>
          </c:yVal>
        </c:ser>
        <c:axId val="104115200"/>
        <c:axId val="104121472"/>
      </c:scatterChart>
      <c:valAx>
        <c:axId val="104115200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Diamètre</a:t>
                </a:r>
                <a:r>
                  <a:rPr lang="fr-FR" sz="1400" baseline="0"/>
                  <a:t> du spot [µm]</a:t>
                </a:r>
                <a:endParaRPr lang="fr-FR" sz="1400"/>
              </a:p>
            </c:rich>
          </c:tx>
        </c:title>
        <c:numFmt formatCode="#,##0.0" sourceLinked="0"/>
        <c:tickLblPos val="nextTo"/>
        <c:crossAx val="104121472"/>
        <c:crosses val="autoZero"/>
        <c:crossBetween val="midCat"/>
      </c:valAx>
      <c:valAx>
        <c:axId val="104121472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Période normalisée</a:t>
                </a:r>
              </a:p>
            </c:rich>
          </c:tx>
        </c:title>
        <c:numFmt formatCode="0.00E+00" sourceLinked="1"/>
        <c:tickLblPos val="nextTo"/>
        <c:crossAx val="104115200"/>
        <c:crosses val="autoZero"/>
        <c:crossBetween val="midCat"/>
      </c:valAx>
    </c:plotArea>
    <c:legend>
      <c:legendPos val="r"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scatterChart>
        <c:scatterStyle val="lineMarker"/>
        <c:ser>
          <c:idx val="1"/>
          <c:order val="0"/>
          <c:tx>
            <c:v>LP3</c:v>
          </c:tx>
          <c:spPr>
            <a:ln w="28575">
              <a:noFill/>
            </a:ln>
          </c:spPr>
          <c:marker>
            <c:symbol val="x"/>
            <c:size val="7"/>
          </c:marker>
          <c:xVal>
            <c:numRef>
              <c:f>'RipplesSpacing-LP3'!$U$2:$U$75</c:f>
              <c:numCache>
                <c:formatCode>0.00E+00</c:formatCode>
                <c:ptCount val="72"/>
                <c:pt idx="0">
                  <c:v>11499999999999.998</c:v>
                </c:pt>
                <c:pt idx="1">
                  <c:v>12000000000000</c:v>
                </c:pt>
                <c:pt idx="2">
                  <c:v>2000000000000</c:v>
                </c:pt>
                <c:pt idx="3">
                  <c:v>4000000000000</c:v>
                </c:pt>
                <c:pt idx="4">
                  <c:v>10000000000000</c:v>
                </c:pt>
                <c:pt idx="5">
                  <c:v>16000000000000</c:v>
                </c:pt>
                <c:pt idx="6">
                  <c:v>3000000000000</c:v>
                </c:pt>
                <c:pt idx="7">
                  <c:v>6000000000000</c:v>
                </c:pt>
                <c:pt idx="8">
                  <c:v>9390000000000</c:v>
                </c:pt>
                <c:pt idx="9">
                  <c:v>15000000000000</c:v>
                </c:pt>
                <c:pt idx="10">
                  <c:v>15000000000000</c:v>
                </c:pt>
                <c:pt idx="11" formatCode="General">
                  <c:v>15000000000000</c:v>
                </c:pt>
                <c:pt idx="12">
                  <c:v>24000000000000</c:v>
                </c:pt>
                <c:pt idx="13">
                  <c:v>24000000000000</c:v>
                </c:pt>
                <c:pt idx="14">
                  <c:v>24000000000000</c:v>
                </c:pt>
                <c:pt idx="15">
                  <c:v>24000000000000</c:v>
                </c:pt>
                <c:pt idx="16">
                  <c:v>24000000000000</c:v>
                </c:pt>
                <c:pt idx="17">
                  <c:v>25500000000000</c:v>
                </c:pt>
                <c:pt idx="18">
                  <c:v>4000000000000</c:v>
                </c:pt>
                <c:pt idx="19">
                  <c:v>8000000000000</c:v>
                </c:pt>
                <c:pt idx="20">
                  <c:v>8000000000000</c:v>
                </c:pt>
                <c:pt idx="21">
                  <c:v>11519999999999.998</c:v>
                </c:pt>
                <c:pt idx="22">
                  <c:v>12520000000000</c:v>
                </c:pt>
                <c:pt idx="23">
                  <c:v>20000000000000</c:v>
                </c:pt>
                <c:pt idx="24" formatCode="General">
                  <c:v>20000000000000</c:v>
                </c:pt>
                <c:pt idx="25">
                  <c:v>32000000000000</c:v>
                </c:pt>
                <c:pt idx="26">
                  <c:v>34000000000000</c:v>
                </c:pt>
                <c:pt idx="27">
                  <c:v>5000000000000</c:v>
                </c:pt>
                <c:pt idx="28">
                  <c:v>10000000000000</c:v>
                </c:pt>
                <c:pt idx="29">
                  <c:v>10000000000000</c:v>
                </c:pt>
                <c:pt idx="30">
                  <c:v>14399999999999.998</c:v>
                </c:pt>
                <c:pt idx="31">
                  <c:v>15650000000000</c:v>
                </c:pt>
                <c:pt idx="32">
                  <c:v>25000000000000</c:v>
                </c:pt>
                <c:pt idx="33">
                  <c:v>40000000000000</c:v>
                </c:pt>
                <c:pt idx="34">
                  <c:v>42500000000000</c:v>
                </c:pt>
                <c:pt idx="35">
                  <c:v>6000000000000</c:v>
                </c:pt>
                <c:pt idx="36">
                  <c:v>12000000000000</c:v>
                </c:pt>
                <c:pt idx="37">
                  <c:v>12000000000000</c:v>
                </c:pt>
                <c:pt idx="38">
                  <c:v>17279999999999.996</c:v>
                </c:pt>
                <c:pt idx="39">
                  <c:v>18780000000000</c:v>
                </c:pt>
                <c:pt idx="40">
                  <c:v>30000000000000</c:v>
                </c:pt>
                <c:pt idx="41">
                  <c:v>51000000000000</c:v>
                </c:pt>
                <c:pt idx="42">
                  <c:v>7000000000000</c:v>
                </c:pt>
                <c:pt idx="43">
                  <c:v>14000000000000</c:v>
                </c:pt>
                <c:pt idx="44">
                  <c:v>20159999999999.996</c:v>
                </c:pt>
                <c:pt idx="45">
                  <c:v>21910000000000</c:v>
                </c:pt>
                <c:pt idx="46">
                  <c:v>8000000000000</c:v>
                </c:pt>
                <c:pt idx="47">
                  <c:v>16000000000000</c:v>
                </c:pt>
                <c:pt idx="48">
                  <c:v>25040000000000</c:v>
                </c:pt>
                <c:pt idx="49">
                  <c:v>9000000000000</c:v>
                </c:pt>
                <c:pt idx="50">
                  <c:v>18000000000000</c:v>
                </c:pt>
                <c:pt idx="51">
                  <c:v>10000000000000</c:v>
                </c:pt>
                <c:pt idx="52">
                  <c:v>20000000000000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11000000000000</c:v>
                </c:pt>
                <c:pt idx="60">
                  <c:v>12000000000000</c:v>
                </c:pt>
                <c:pt idx="61">
                  <c:v>13000000000000</c:v>
                </c:pt>
                <c:pt idx="62">
                  <c:v>14000000000000</c:v>
                </c:pt>
                <c:pt idx="63" formatCode="General">
                  <c:v>75000000000000</c:v>
                </c:pt>
                <c:pt idx="64">
                  <c:v>40000000000000</c:v>
                </c:pt>
                <c:pt idx="65">
                  <c:v>62600000000000</c:v>
                </c:pt>
                <c:pt idx="66">
                  <c:v>60000000000000</c:v>
                </c:pt>
                <c:pt idx="67">
                  <c:v>93900000000000</c:v>
                </c:pt>
                <c:pt idx="68">
                  <c:v>80000000000000</c:v>
                </c:pt>
                <c:pt idx="69">
                  <c:v>100000000000000</c:v>
                </c:pt>
                <c:pt idx="70">
                  <c:v>156500000000000</c:v>
                </c:pt>
                <c:pt idx="71" formatCode="General">
                  <c:v>250000000000000</c:v>
                </c:pt>
              </c:numCache>
            </c:numRef>
          </c:xVal>
          <c:yVal>
            <c:numRef>
              <c:f>'RipplesSpacing-LP3'!$C$2:$C$75</c:f>
              <c:numCache>
                <c:formatCode>General</c:formatCode>
                <c:ptCount val="72"/>
                <c:pt idx="0">
                  <c:v>806.66666666666674</c:v>
                </c:pt>
                <c:pt idx="1">
                  <c:v>823.99999999999989</c:v>
                </c:pt>
                <c:pt idx="2">
                  <c:v>755.71428571428567</c:v>
                </c:pt>
                <c:pt idx="3">
                  <c:v>703.75</c:v>
                </c:pt>
                <c:pt idx="4">
                  <c:v>755.55555555555566</c:v>
                </c:pt>
                <c:pt idx="5">
                  <c:v>757.22222222222229</c:v>
                </c:pt>
                <c:pt idx="6">
                  <c:v>727.91666666666663</c:v>
                </c:pt>
                <c:pt idx="7">
                  <c:v>770.41666666666663</c:v>
                </c:pt>
                <c:pt idx="8">
                  <c:v>720</c:v>
                </c:pt>
                <c:pt idx="9">
                  <c:v>792.22222222222217</c:v>
                </c:pt>
                <c:pt idx="10">
                  <c:v>810</c:v>
                </c:pt>
                <c:pt idx="11">
                  <c:v>801.50000000000011</c:v>
                </c:pt>
                <c:pt idx="12">
                  <c:v>751.11111111111109</c:v>
                </c:pt>
                <c:pt idx="13">
                  <c:v>703.75</c:v>
                </c:pt>
                <c:pt idx="14">
                  <c:v>848.33333333333337</c:v>
                </c:pt>
                <c:pt idx="15">
                  <c:v>731.99999999999989</c:v>
                </c:pt>
                <c:pt idx="16">
                  <c:v>706.66666666666663</c:v>
                </c:pt>
                <c:pt idx="17">
                  <c:v>785</c:v>
                </c:pt>
                <c:pt idx="18">
                  <c:v>733.75</c:v>
                </c:pt>
                <c:pt idx="19">
                  <c:v>749.99999999999989</c:v>
                </c:pt>
                <c:pt idx="20">
                  <c:v>755.78947368421052</c:v>
                </c:pt>
                <c:pt idx="21">
                  <c:v>676.25</c:v>
                </c:pt>
                <c:pt idx="22">
                  <c:v>689.28571428571433</c:v>
                </c:pt>
                <c:pt idx="23">
                  <c:v>763.84615384615381</c:v>
                </c:pt>
                <c:pt idx="24">
                  <c:v>802</c:v>
                </c:pt>
                <c:pt idx="25">
                  <c:v>741.42857142857133</c:v>
                </c:pt>
                <c:pt idx="26">
                  <c:v>795</c:v>
                </c:pt>
                <c:pt idx="27">
                  <c:v>752.35294117647072</c:v>
                </c:pt>
                <c:pt idx="28">
                  <c:v>757.14285714285711</c:v>
                </c:pt>
                <c:pt idx="29">
                  <c:v>734.16666666666674</c:v>
                </c:pt>
                <c:pt idx="30">
                  <c:v>715</c:v>
                </c:pt>
                <c:pt idx="31">
                  <c:v>645.83333333333326</c:v>
                </c:pt>
                <c:pt idx="32">
                  <c:v>792</c:v>
                </c:pt>
                <c:pt idx="33">
                  <c:v>821.99999999999989</c:v>
                </c:pt>
                <c:pt idx="34">
                  <c:v>800.62500000000011</c:v>
                </c:pt>
                <c:pt idx="35">
                  <c:v>781</c:v>
                </c:pt>
                <c:pt idx="36">
                  <c:v>723.88888888888891</c:v>
                </c:pt>
                <c:pt idx="37">
                  <c:v>817</c:v>
                </c:pt>
                <c:pt idx="38">
                  <c:v>715</c:v>
                </c:pt>
                <c:pt idx="39">
                  <c:v>783.74999999999989</c:v>
                </c:pt>
                <c:pt idx="40">
                  <c:v>826.25</c:v>
                </c:pt>
                <c:pt idx="41">
                  <c:v>800</c:v>
                </c:pt>
                <c:pt idx="42">
                  <c:v>723.84615384615381</c:v>
                </c:pt>
                <c:pt idx="43">
                  <c:v>735</c:v>
                </c:pt>
                <c:pt idx="44">
                  <c:v>736.66666666666663</c:v>
                </c:pt>
                <c:pt idx="45">
                  <c:v>750.33333333333337</c:v>
                </c:pt>
                <c:pt idx="46">
                  <c:v>745.90909090909088</c:v>
                </c:pt>
                <c:pt idx="47">
                  <c:v>763.84615384615381</c:v>
                </c:pt>
                <c:pt idx="48">
                  <c:v>795</c:v>
                </c:pt>
                <c:pt idx="49">
                  <c:v>804.58333333333326</c:v>
                </c:pt>
                <c:pt idx="50">
                  <c:v>710</c:v>
                </c:pt>
                <c:pt idx="51">
                  <c:v>783.33333333333326</c:v>
                </c:pt>
                <c:pt idx="52">
                  <c:v>740</c:v>
                </c:pt>
                <c:pt idx="53">
                  <c:v>699.28571428571422</c:v>
                </c:pt>
                <c:pt idx="54">
                  <c:v>743.33333333333326</c:v>
                </c:pt>
                <c:pt idx="55">
                  <c:v>725.00000000000011</c:v>
                </c:pt>
                <c:pt idx="56">
                  <c:v>703.33333333333337</c:v>
                </c:pt>
                <c:pt idx="57">
                  <c:v>768.75</c:v>
                </c:pt>
                <c:pt idx="58">
                  <c:v>715</c:v>
                </c:pt>
                <c:pt idx="59">
                  <c:v>755.29411764705878</c:v>
                </c:pt>
                <c:pt idx="60">
                  <c:v>740.58823529411768</c:v>
                </c:pt>
                <c:pt idx="61">
                  <c:v>748.5</c:v>
                </c:pt>
                <c:pt idx="62">
                  <c:v>737.91666666666652</c:v>
                </c:pt>
                <c:pt idx="63">
                  <c:v>682.49999999999989</c:v>
                </c:pt>
                <c:pt idx="64">
                  <c:v>738.24999999999989</c:v>
                </c:pt>
                <c:pt idx="65">
                  <c:v>714.99999999999989</c:v>
                </c:pt>
                <c:pt idx="66">
                  <c:v>727.22222222222217</c:v>
                </c:pt>
                <c:pt idx="67">
                  <c:v>694.99999999999989</c:v>
                </c:pt>
                <c:pt idx="68">
                  <c:v>712.40000000000009</c:v>
                </c:pt>
                <c:pt idx="69">
                  <c:v>675</c:v>
                </c:pt>
                <c:pt idx="70">
                  <c:v>552.5</c:v>
                </c:pt>
                <c:pt idx="71">
                  <c:v>699.4</c:v>
                </c:pt>
              </c:numCache>
            </c:numRef>
          </c:yVal>
        </c:ser>
        <c:ser>
          <c:idx val="0"/>
          <c:order val="1"/>
          <c:tx>
            <c:v>Littérature</c:v>
          </c:tx>
          <c:spPr>
            <a:ln w="28575">
              <a:noFill/>
            </a:ln>
          </c:spPr>
          <c:marker>
            <c:symbol val="plus"/>
            <c:size val="10"/>
          </c:marker>
          <c:xVal>
            <c:numRef>
              <c:f>'RipplesSpacing-Litteratur'!$M$2:$M$40</c:f>
              <c:numCache>
                <c:formatCode>0.00E+00</c:formatCode>
                <c:ptCount val="29"/>
                <c:pt idx="0">
                  <c:v>29230769230769.234</c:v>
                </c:pt>
                <c:pt idx="1">
                  <c:v>16153846153846.152</c:v>
                </c:pt>
                <c:pt idx="2">
                  <c:v>2500000000000000</c:v>
                </c:pt>
                <c:pt idx="3">
                  <c:v>16153846153846.152</c:v>
                </c:pt>
                <c:pt idx="4">
                  <c:v>16153846153846.152</c:v>
                </c:pt>
                <c:pt idx="5">
                  <c:v>16153846153846.152</c:v>
                </c:pt>
                <c:pt idx="6">
                  <c:v>32307692307692.305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58296087376011.625</c:v>
                </c:pt>
                <c:pt idx="11">
                  <c:v>855263157894737</c:v>
                </c:pt>
                <c:pt idx="12">
                  <c:v>0</c:v>
                </c:pt>
                <c:pt idx="13">
                  <c:v>323076923076923.06</c:v>
                </c:pt>
                <c:pt idx="14">
                  <c:v>1230769230769230.7</c:v>
                </c:pt>
                <c:pt idx="15">
                  <c:v>1.1538461538461542E+16</c:v>
                </c:pt>
                <c:pt idx="16">
                  <c:v>153846153846153.84</c:v>
                </c:pt>
                <c:pt idx="17">
                  <c:v>0</c:v>
                </c:pt>
                <c:pt idx="18">
                  <c:v>444444444444444.5</c:v>
                </c:pt>
                <c:pt idx="19" formatCode="General">
                  <c:v>3750000000000000</c:v>
                </c:pt>
                <c:pt idx="20">
                  <c:v>1615384615384615.2</c:v>
                </c:pt>
                <c:pt idx="21">
                  <c:v>5000000000</c:v>
                </c:pt>
                <c:pt idx="22">
                  <c:v>3230769230769230.5</c:v>
                </c:pt>
                <c:pt idx="23">
                  <c:v>3461538461538461.5</c:v>
                </c:pt>
                <c:pt idx="24">
                  <c:v>4000000000000000</c:v>
                </c:pt>
                <c:pt idx="25">
                  <c:v>3020000000000</c:v>
                </c:pt>
                <c:pt idx="26">
                  <c:v>3020000000000</c:v>
                </c:pt>
                <c:pt idx="27">
                  <c:v>3020000000000</c:v>
                </c:pt>
                <c:pt idx="28">
                  <c:v>3020000000000</c:v>
                </c:pt>
              </c:numCache>
            </c:numRef>
          </c:xVal>
          <c:yVal>
            <c:numRef>
              <c:f>'RipplesSpacing-Litteratur'!$C$2:$C$40</c:f>
              <c:numCache>
                <c:formatCode>0.00</c:formatCode>
                <c:ptCount val="29"/>
                <c:pt idx="0">
                  <c:v>770</c:v>
                </c:pt>
                <c:pt idx="1">
                  <c:v>700</c:v>
                </c:pt>
                <c:pt idx="2">
                  <c:v>685.78125</c:v>
                </c:pt>
                <c:pt idx="3">
                  <c:v>714.76190476190482</c:v>
                </c:pt>
                <c:pt idx="4">
                  <c:v>745.52631578947364</c:v>
                </c:pt>
                <c:pt idx="5">
                  <c:v>747.10526315789468</c:v>
                </c:pt>
                <c:pt idx="6">
                  <c:v>681</c:v>
                </c:pt>
                <c:pt idx="7">
                  <c:v>1600</c:v>
                </c:pt>
                <c:pt idx="8">
                  <c:v>1050</c:v>
                </c:pt>
                <c:pt idx="9">
                  <c:v>650</c:v>
                </c:pt>
                <c:pt idx="10">
                  <c:v>1738.75</c:v>
                </c:pt>
                <c:pt idx="11">
                  <c:v>550.83333333333337</c:v>
                </c:pt>
                <c:pt idx="12">
                  <c:v>585.90909090909088</c:v>
                </c:pt>
                <c:pt idx="13">
                  <c:v>595.5</c:v>
                </c:pt>
                <c:pt idx="14">
                  <c:v>157.06896551724137</c:v>
                </c:pt>
                <c:pt idx="15">
                  <c:v>136.33333333333334</c:v>
                </c:pt>
                <c:pt idx="16">
                  <c:v>590.76923076923072</c:v>
                </c:pt>
                <c:pt idx="17">
                  <c:v>700</c:v>
                </c:pt>
                <c:pt idx="18">
                  <c:v>829.44444444444446</c:v>
                </c:pt>
                <c:pt idx="19">
                  <c:v>307.625</c:v>
                </c:pt>
                <c:pt idx="20">
                  <c:v>575.55999999999995</c:v>
                </c:pt>
                <c:pt idx="21">
                  <c:v>561.11111111111109</c:v>
                </c:pt>
                <c:pt idx="22">
                  <c:v>560.6</c:v>
                </c:pt>
                <c:pt idx="23">
                  <c:v>613.5</c:v>
                </c:pt>
                <c:pt idx="24">
                  <c:v>205</c:v>
                </c:pt>
                <c:pt idx="25">
                  <c:v>680</c:v>
                </c:pt>
                <c:pt idx="26">
                  <c:v>685</c:v>
                </c:pt>
                <c:pt idx="27">
                  <c:v>725</c:v>
                </c:pt>
                <c:pt idx="28">
                  <c:v>725</c:v>
                </c:pt>
              </c:numCache>
            </c:numRef>
          </c:yVal>
        </c:ser>
        <c:axId val="111750144"/>
        <c:axId val="111756416"/>
      </c:scatterChart>
      <c:valAx>
        <c:axId val="111750144"/>
        <c:scaling>
          <c:logBase val="10"/>
          <c:orientation val="minMax"/>
          <c:min val="1000000000000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 sz="18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800" baseline="0">
                    <a:latin typeface="Times New Roman" pitchFamily="18" charset="0"/>
                    <a:cs typeface="Times New Roman" pitchFamily="18" charset="0"/>
                  </a:rPr>
                  <a:t> N.</a:t>
                </a:r>
                <a:r>
                  <a:rPr lang="en-US" sz="1800">
                    <a:latin typeface="Times New Roman" pitchFamily="18" charset="0"/>
                    <a:cs typeface="Times New Roman" pitchFamily="18" charset="0"/>
                  </a:rPr>
                  <a:t>I [W/cm²]</a:t>
                </a:r>
              </a:p>
            </c:rich>
          </c:tx>
          <c:layout>
            <c:manualLayout>
              <c:xMode val="edge"/>
              <c:yMode val="edge"/>
              <c:x val="0.37880629797266618"/>
              <c:y val="0.90603295685625795"/>
            </c:manualLayout>
          </c:layout>
        </c:title>
        <c:numFmt formatCode="General" sourceLinked="0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111756416"/>
        <c:crosses val="autoZero"/>
        <c:crossBetween val="midCat"/>
      </c:valAx>
      <c:valAx>
        <c:axId val="111756416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2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l-GR" sz="2000">
                    <a:latin typeface="Times New Roman" pitchFamily="18" charset="0"/>
                    <a:cs typeface="Times New Roman" pitchFamily="18" charset="0"/>
                  </a:rPr>
                  <a:t>Λ</a:t>
                </a:r>
                <a:r>
                  <a:rPr lang="fr-FR" sz="2000">
                    <a:latin typeface="Times New Roman" pitchFamily="18" charset="0"/>
                    <a:cs typeface="Times New Roman" pitchFamily="18" charset="0"/>
                  </a:rPr>
                  <a:t> [nm]</a:t>
                </a: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111750144"/>
        <c:crosses val="autoZero"/>
        <c:crossBetween val="midCat"/>
      </c:valAx>
    </c:plotArea>
    <c:legend>
      <c:legendPos val="r"/>
      <c:txPr>
        <a:bodyPr/>
        <a:lstStyle/>
        <a:p>
          <a:pPr>
            <a:defRPr sz="1400"/>
          </a:pPr>
          <a:endParaRPr lang="fr-FR"/>
        </a:p>
      </c:txPr>
    </c:legend>
    <c:plotVisOnly val="1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4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3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3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228" cy="606701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0.3248</cdr:x>
      <cdr:y>0.12676</cdr:y>
    </cdr:from>
    <cdr:to>
      <cdr:x>0.73688</cdr:x>
      <cdr:y>0.61636</cdr:y>
    </cdr:to>
    <cdr:sp macro="" textlink="">
      <cdr:nvSpPr>
        <cdr:cNvPr id="6" name="Connecteur droit 5"/>
        <cdr:cNvSpPr/>
      </cdr:nvSpPr>
      <cdr:spPr>
        <a:xfrm xmlns:a="http://schemas.openxmlformats.org/drawingml/2006/main" flipV="1">
          <a:off x="3019777" y="769054"/>
          <a:ext cx="3831167" cy="297038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0.14699</cdr:x>
      <cdr:y>0.0314</cdr:y>
    </cdr:from>
    <cdr:to>
      <cdr:x>0.69211</cdr:x>
      <cdr:y>0.84471</cdr:y>
    </cdr:to>
    <cdr:sp macro="" textlink="">
      <cdr:nvSpPr>
        <cdr:cNvPr id="8" name="Connecteur droit 7"/>
        <cdr:cNvSpPr/>
      </cdr:nvSpPr>
      <cdr:spPr>
        <a:xfrm xmlns:a="http://schemas.openxmlformats.org/drawingml/2006/main" flipV="1">
          <a:off x="1366600" y="190500"/>
          <a:ext cx="5068067" cy="493436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0.32773</cdr:x>
      <cdr:y>0.66677</cdr:y>
    </cdr:from>
    <cdr:to>
      <cdr:x>0.53035</cdr:x>
      <cdr:y>0.82958</cdr:y>
    </cdr:to>
    <cdr:sp macro="" textlink="">
      <cdr:nvSpPr>
        <cdr:cNvPr id="4" name="Ellipse 3"/>
        <cdr:cNvSpPr/>
      </cdr:nvSpPr>
      <cdr:spPr>
        <a:xfrm xmlns:a="http://schemas.openxmlformats.org/drawingml/2006/main">
          <a:off x="3047009" y="4045279"/>
          <a:ext cx="1883805" cy="987771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270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fr-FR" sz="1400">
              <a:solidFill>
                <a:sysClr val="windowText" lastClr="000000"/>
              </a:solidFill>
            </a:rPr>
            <a:t>"HSFL"</a:t>
          </a:r>
        </a:p>
      </cdr:txBody>
    </cdr:sp>
  </cdr:relSizeAnchor>
  <cdr:relSizeAnchor xmlns:cdr="http://schemas.openxmlformats.org/drawingml/2006/chartDrawing">
    <cdr:from>
      <cdr:x>0.23764</cdr:x>
      <cdr:y>0.29065</cdr:y>
    </cdr:from>
    <cdr:to>
      <cdr:x>0.79871</cdr:x>
      <cdr:y>0.45811</cdr:y>
    </cdr:to>
    <cdr:sp macro="" textlink="">
      <cdr:nvSpPr>
        <cdr:cNvPr id="5" name="Ellipse 4"/>
        <cdr:cNvSpPr/>
      </cdr:nvSpPr>
      <cdr:spPr>
        <a:xfrm xmlns:a="http://schemas.openxmlformats.org/drawingml/2006/main" rot="19383897">
          <a:off x="2209426" y="1763367"/>
          <a:ext cx="5216349" cy="10160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270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600">
              <a:solidFill>
                <a:sysClr val="windowText" lastClr="000000"/>
              </a:solidFill>
            </a:rPr>
            <a:t>"LSFL"</a:t>
          </a:r>
        </a:p>
      </cdr:txBody>
    </cdr:sp>
  </cdr:relSizeAnchor>
  <cdr:relSizeAnchor xmlns:cdr="http://schemas.openxmlformats.org/drawingml/2006/chartDrawing">
    <cdr:from>
      <cdr:x>0.46484</cdr:x>
      <cdr:y>0.48951</cdr:y>
    </cdr:from>
    <cdr:to>
      <cdr:x>0.59461</cdr:x>
      <cdr:y>0.62558</cdr:y>
    </cdr:to>
    <cdr:sp macro="" textlink="">
      <cdr:nvSpPr>
        <cdr:cNvPr id="9" name="Ellipse 8"/>
        <cdr:cNvSpPr/>
      </cdr:nvSpPr>
      <cdr:spPr>
        <a:xfrm xmlns:a="http://schemas.openxmlformats.org/drawingml/2006/main">
          <a:off x="4321685" y="2969880"/>
          <a:ext cx="1206501" cy="82553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270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fr-FR" sz="1400">
              <a:solidFill>
                <a:sysClr val="windowText" lastClr="000000"/>
              </a:solidFill>
            </a:rPr>
            <a:t>Autres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299" cy="608670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0.08898</cdr:x>
      <cdr:y>0.05297</cdr:y>
    </cdr:from>
    <cdr:to>
      <cdr:x>0.86544</cdr:x>
      <cdr:y>0.55734</cdr:y>
    </cdr:to>
    <cdr:sp macro="" textlink="">
      <cdr:nvSpPr>
        <cdr:cNvPr id="3" name="Connecteur droit 2"/>
        <cdr:cNvSpPr/>
      </cdr:nvSpPr>
      <cdr:spPr>
        <a:xfrm xmlns:a="http://schemas.openxmlformats.org/drawingml/2006/main">
          <a:off x="827942" y="322385"/>
          <a:ext cx="7224346" cy="30699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0.17343</cdr:x>
      <cdr:y>0.40205</cdr:y>
    </cdr:from>
    <cdr:to>
      <cdr:x>0.32036</cdr:x>
      <cdr:y>0.51039</cdr:y>
    </cdr:to>
    <cdr:sp macro="" textlink="">
      <cdr:nvSpPr>
        <cdr:cNvPr id="5" name="Ellipse 4"/>
        <cdr:cNvSpPr/>
      </cdr:nvSpPr>
      <cdr:spPr>
        <a:xfrm xmlns:a="http://schemas.openxmlformats.org/drawingml/2006/main">
          <a:off x="1613646" y="2447161"/>
          <a:ext cx="1367120" cy="65943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fr-FR" sz="1000">
              <a:solidFill>
                <a:sysClr val="windowText" lastClr="000000"/>
              </a:solidFill>
              <a:latin typeface="Book Antiqua"/>
            </a:rPr>
            <a:t>Si, λ=</a:t>
          </a:r>
          <a:r>
            <a:rPr lang="fr-FR" sz="1000">
              <a:solidFill>
                <a:sysClr val="windowText" lastClr="000000"/>
              </a:solidFill>
            </a:rPr>
            <a:t>1300</a:t>
          </a:r>
          <a:r>
            <a:rPr lang="fr-FR" sz="1000" baseline="0">
              <a:solidFill>
                <a:sysClr val="windowText" lastClr="000000"/>
              </a:solidFill>
            </a:rPr>
            <a:t> nm </a:t>
          </a:r>
          <a:endParaRPr lang="fr-FR" sz="10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0.53432</cdr:x>
      <cdr:y>0.6147</cdr:y>
    </cdr:from>
    <cdr:to>
      <cdr:x>0.69339</cdr:x>
      <cdr:y>0.75193</cdr:y>
    </cdr:to>
    <cdr:sp macro="" textlink="">
      <cdr:nvSpPr>
        <cdr:cNvPr id="6" name="Ellipse 5"/>
        <cdr:cNvSpPr/>
      </cdr:nvSpPr>
      <cdr:spPr>
        <a:xfrm xmlns:a="http://schemas.openxmlformats.org/drawingml/2006/main">
          <a:off x="4971514" y="3741483"/>
          <a:ext cx="1480035" cy="83527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900">
              <a:solidFill>
                <a:sysClr val="windowText" lastClr="000000"/>
              </a:solidFill>
              <a:latin typeface="Book Antiqua"/>
            </a:rPr>
            <a:t>Si &lt;001&gt;,</a:t>
          </a:r>
          <a:r>
            <a:rPr lang="fr-FR" sz="900" baseline="0">
              <a:solidFill>
                <a:sysClr val="windowText" lastClr="000000"/>
              </a:solidFill>
              <a:latin typeface="Book Antiqua"/>
            </a:rPr>
            <a:t> Ripples "HSFL"</a:t>
          </a:r>
          <a:br>
            <a:rPr lang="fr-FR" sz="900" baseline="0">
              <a:solidFill>
                <a:sysClr val="windowText" lastClr="000000"/>
              </a:solidFill>
              <a:latin typeface="Book Antiqua"/>
            </a:rPr>
          </a:br>
          <a:r>
            <a:rPr lang="fr-FR" sz="900" baseline="0">
              <a:solidFill>
                <a:sysClr val="windowText" lastClr="000000"/>
              </a:solidFill>
              <a:latin typeface="Book Antiqua"/>
            </a:rPr>
            <a:t>F= 0.04 J/cm²</a:t>
          </a:r>
          <a:r>
            <a:rPr lang="fr-FR" sz="1050" baseline="0">
              <a:solidFill>
                <a:sysClr val="windowText" lastClr="000000"/>
              </a:solidFill>
              <a:latin typeface="Book Antiqua"/>
            </a:rPr>
            <a:t/>
          </a:r>
          <a:br>
            <a:rPr lang="fr-FR" sz="1050" baseline="0">
              <a:solidFill>
                <a:sysClr val="windowText" lastClr="000000"/>
              </a:solidFill>
              <a:latin typeface="Book Antiqua"/>
            </a:rPr>
          </a:br>
          <a:r>
            <a:rPr lang="fr-FR" sz="600" baseline="0">
              <a:solidFill>
                <a:sysClr val="windowText" lastClr="000000"/>
              </a:solidFill>
              <a:latin typeface="Book Antiqua"/>
            </a:rPr>
            <a:t>(Reif, MSE B 134, 2006)</a:t>
          </a:r>
          <a:endParaRPr lang="fr-FR" sz="6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0.57256</cdr:x>
      <cdr:y>0.09573</cdr:y>
    </cdr:from>
    <cdr:to>
      <cdr:x>0.78646</cdr:x>
      <cdr:y>0.13376</cdr:y>
    </cdr:to>
    <cdr:sp macro="" textlink="">
      <cdr:nvSpPr>
        <cdr:cNvPr id="7" name="Ellipse 6"/>
        <cdr:cNvSpPr/>
      </cdr:nvSpPr>
      <cdr:spPr>
        <a:xfrm xmlns:a="http://schemas.openxmlformats.org/drawingml/2006/main">
          <a:off x="5327225" y="582706"/>
          <a:ext cx="1990216" cy="23142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175">
          <a:solidFill>
            <a:srgbClr val="0070C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050">
              <a:solidFill>
                <a:sysClr val="windowText" lastClr="000000"/>
              </a:solidFill>
              <a:latin typeface="+mn-lt"/>
            </a:rPr>
            <a:t>Si &lt;100&gt;</a:t>
          </a:r>
          <a:r>
            <a:rPr lang="fr-FR" sz="1050" baseline="0">
              <a:solidFill>
                <a:sysClr val="windowText" lastClr="000000"/>
              </a:solidFill>
              <a:latin typeface="+mn-lt"/>
            </a:rPr>
            <a:t>, </a:t>
          </a:r>
          <a:r>
            <a:rPr lang="fr-FR" sz="1050">
              <a:solidFill>
                <a:sysClr val="windowText" lastClr="000000"/>
              </a:solidFill>
              <a:latin typeface="+mn-lt"/>
            </a:rPr>
            <a:t>F</a:t>
          </a:r>
          <a:r>
            <a:rPr lang="fr-FR" sz="1050" baseline="0">
              <a:solidFill>
                <a:sysClr val="windowText" lastClr="000000"/>
              </a:solidFill>
              <a:latin typeface="+mn-lt"/>
            </a:rPr>
            <a:t> = 0.2 J/cm²</a:t>
          </a:r>
          <a:endParaRPr lang="fr-FR" sz="1050">
            <a:solidFill>
              <a:sysClr val="windowText" lastClr="000000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0.08898</cdr:x>
      <cdr:y>0.05297</cdr:y>
    </cdr:from>
    <cdr:to>
      <cdr:x>0.86544</cdr:x>
      <cdr:y>0.55734</cdr:y>
    </cdr:to>
    <cdr:sp macro="" textlink="">
      <cdr:nvSpPr>
        <cdr:cNvPr id="2" name="Connecteur droit 2"/>
        <cdr:cNvSpPr/>
      </cdr:nvSpPr>
      <cdr:spPr>
        <a:xfrm xmlns:a="http://schemas.openxmlformats.org/drawingml/2006/main">
          <a:off x="827942" y="322385"/>
          <a:ext cx="7224346" cy="30699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0.08672</cdr:x>
      <cdr:y>0.23013</cdr:y>
    </cdr:from>
    <cdr:to>
      <cdr:x>0.86595</cdr:x>
      <cdr:y>0.7401</cdr:y>
    </cdr:to>
    <cdr:sp macro="" textlink="">
      <cdr:nvSpPr>
        <cdr:cNvPr id="13" name="Connecteur droit 3"/>
        <cdr:cNvSpPr/>
      </cdr:nvSpPr>
      <cdr:spPr>
        <a:xfrm xmlns:a="http://schemas.openxmlformats.org/drawingml/2006/main">
          <a:off x="806839" y="1400716"/>
          <a:ext cx="7250190" cy="310404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0.53826</cdr:x>
      <cdr:y>0.29853</cdr:y>
    </cdr:from>
    <cdr:to>
      <cdr:x>0.76064</cdr:x>
      <cdr:y>0.35136</cdr:y>
    </cdr:to>
    <cdr:sp macro="" textlink="">
      <cdr:nvSpPr>
        <cdr:cNvPr id="17" name="Ellipse 10"/>
        <cdr:cNvSpPr/>
      </cdr:nvSpPr>
      <cdr:spPr>
        <a:xfrm xmlns:a="http://schemas.openxmlformats.org/drawingml/2006/main">
          <a:off x="5008132" y="1817065"/>
          <a:ext cx="2069090" cy="32156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175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fr-FR" sz="1050">
              <a:solidFill>
                <a:sysClr val="windowText" lastClr="000000"/>
              </a:solidFill>
            </a:rPr>
            <a:t>Si &lt;111&gt;, F=0.45 J/cm² </a:t>
          </a:r>
          <a:br>
            <a:rPr lang="fr-FR" sz="1050">
              <a:solidFill>
                <a:sysClr val="windowText" lastClr="000000"/>
              </a:solidFill>
            </a:rPr>
          </a:br>
          <a:r>
            <a:rPr lang="fr-FR" sz="900">
              <a:solidFill>
                <a:sysClr val="windowText" lastClr="000000"/>
              </a:solidFill>
            </a:rPr>
            <a:t>(Daminelli,</a:t>
          </a:r>
          <a:r>
            <a:rPr lang="fr-FR" sz="900" baseline="0">
              <a:solidFill>
                <a:sysClr val="windowText" lastClr="000000"/>
              </a:solidFill>
            </a:rPr>
            <a:t> </a:t>
          </a:r>
          <a:r>
            <a:rPr lang="fr-FR" sz="900">
              <a:solidFill>
                <a:sysClr val="windowText" lastClr="000000"/>
              </a:solidFill>
            </a:rPr>
            <a:t>TSF 467</a:t>
          </a:r>
          <a:r>
            <a:rPr lang="fr-FR" sz="900" baseline="0">
              <a:solidFill>
                <a:sysClr val="windowText" lastClr="000000"/>
              </a:solidFill>
            </a:rPr>
            <a:t>, </a:t>
          </a:r>
          <a:r>
            <a:rPr lang="fr-FR" sz="900">
              <a:solidFill>
                <a:sysClr val="windowText" lastClr="000000"/>
              </a:solidFill>
            </a:rPr>
            <a:t>2004)</a:t>
          </a:r>
        </a:p>
      </cdr:txBody>
    </cdr:sp>
  </cdr:relSizeAnchor>
  <cdr:relSizeAnchor xmlns:cdr="http://schemas.openxmlformats.org/drawingml/2006/chartDrawing">
    <cdr:from>
      <cdr:x>0.54229</cdr:x>
      <cdr:y>0.34025</cdr:y>
    </cdr:from>
    <cdr:to>
      <cdr:x>0.77201</cdr:x>
      <cdr:y>0.41239</cdr:y>
    </cdr:to>
    <cdr:sp macro="" textlink="">
      <cdr:nvSpPr>
        <cdr:cNvPr id="18" name="Ellipse 11"/>
        <cdr:cNvSpPr/>
      </cdr:nvSpPr>
      <cdr:spPr>
        <a:xfrm xmlns:a="http://schemas.openxmlformats.org/drawingml/2006/main">
          <a:off x="5045617" y="2071012"/>
          <a:ext cx="2137354" cy="43910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175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050">
              <a:solidFill>
                <a:sysClr val="windowText" lastClr="000000"/>
              </a:solidFill>
            </a:rPr>
            <a:t>Si &lt;111&gt;, F=0.42 J/cm²</a:t>
          </a:r>
        </a:p>
        <a:p xmlns:a="http://schemas.openxmlformats.org/drawingml/2006/main">
          <a:pPr algn="ctr"/>
          <a:r>
            <a:rPr lang="fr-FR" sz="900">
              <a:solidFill>
                <a:sysClr val="windowText" lastClr="000000"/>
              </a:solidFill>
            </a:rPr>
            <a:t>(Bonse, JAP</a:t>
          </a:r>
          <a:r>
            <a:rPr lang="fr-FR" sz="900" baseline="0">
              <a:solidFill>
                <a:sysClr val="windowText" lastClr="000000"/>
              </a:solidFill>
            </a:rPr>
            <a:t> 108, 2010)</a:t>
          </a:r>
          <a:endParaRPr lang="fr-FR" sz="9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0.28303</cdr:x>
      <cdr:y>0.07364</cdr:y>
    </cdr:from>
    <cdr:to>
      <cdr:x>0.56244</cdr:x>
      <cdr:y>0.13624</cdr:y>
    </cdr:to>
    <cdr:sp macro="" textlink="">
      <cdr:nvSpPr>
        <cdr:cNvPr id="19" name="Ellipse 18"/>
        <cdr:cNvSpPr/>
      </cdr:nvSpPr>
      <cdr:spPr>
        <a:xfrm xmlns:a="http://schemas.openxmlformats.org/drawingml/2006/main">
          <a:off x="2633382" y="448236"/>
          <a:ext cx="2599765" cy="3810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175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fr-FR" sz="1100">
              <a:solidFill>
                <a:sysClr val="windowText" lastClr="000000"/>
              </a:solidFill>
              <a:latin typeface="Book Antiqua"/>
            </a:rPr>
            <a:t>Si &lt;111&gt;, F</a:t>
          </a:r>
          <a:r>
            <a:rPr lang="fr-FR" sz="1100" baseline="0">
              <a:solidFill>
                <a:sysClr val="windowText" lastClr="000000"/>
              </a:solidFill>
              <a:latin typeface="Book Antiqua"/>
            </a:rPr>
            <a:t> &lt; 0.45 mJ/cm²</a:t>
          </a:r>
          <a:br>
            <a:rPr lang="fr-FR" sz="1100" baseline="0">
              <a:solidFill>
                <a:sysClr val="windowText" lastClr="000000"/>
              </a:solidFill>
              <a:latin typeface="Book Antiqua"/>
            </a:rPr>
          </a:br>
          <a:r>
            <a:rPr lang="fr-FR" sz="900" baseline="0">
              <a:solidFill>
                <a:sysClr val="windowText" lastClr="000000"/>
              </a:solidFill>
              <a:latin typeface="Book Antiqua"/>
            </a:rPr>
            <a:t>(B. Tan, JMM 16 1 2006)</a:t>
          </a:r>
          <a:endParaRPr lang="fr-FR" sz="11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0.6889</cdr:x>
      <cdr:y>0.15097</cdr:y>
    </cdr:from>
    <cdr:to>
      <cdr:x>0.88281</cdr:x>
      <cdr:y>0.26143</cdr:y>
    </cdr:to>
    <cdr:sp macro="" textlink="">
      <cdr:nvSpPr>
        <cdr:cNvPr id="20" name="Ellipse 19"/>
        <cdr:cNvSpPr/>
      </cdr:nvSpPr>
      <cdr:spPr>
        <a:xfrm xmlns:a="http://schemas.openxmlformats.org/drawingml/2006/main">
          <a:off x="6409765" y="918882"/>
          <a:ext cx="1804147" cy="67235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175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050">
              <a:solidFill>
                <a:sysClr val="windowText" lastClr="000000"/>
              </a:solidFill>
            </a:rPr>
            <a:t>Si &lt;100&gt;, F=0.19 J/cm²</a:t>
          </a:r>
          <a:br>
            <a:rPr lang="fr-FR" sz="1050">
              <a:solidFill>
                <a:sysClr val="windowText" lastClr="000000"/>
              </a:solidFill>
            </a:rPr>
          </a:br>
          <a:r>
            <a:rPr lang="fr-FR" sz="900">
              <a:solidFill>
                <a:sysClr val="windowText" lastClr="000000"/>
              </a:solidFill>
            </a:rPr>
            <a:t>(Costache, APA 79,</a:t>
          </a:r>
          <a:r>
            <a:rPr lang="fr-FR" sz="900" baseline="0">
              <a:solidFill>
                <a:sysClr val="windowText" lastClr="000000"/>
              </a:solidFill>
            </a:rPr>
            <a:t> 2004)</a:t>
          </a:r>
          <a:endParaRPr lang="fr-FR" sz="105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0.75876</cdr:x>
      <cdr:y>0.26327</cdr:y>
    </cdr:from>
    <cdr:to>
      <cdr:x>0.78766</cdr:x>
      <cdr:y>0.28904</cdr:y>
    </cdr:to>
    <cdr:sp macro="" textlink="">
      <cdr:nvSpPr>
        <cdr:cNvPr id="23" name="Connecteur droit avec flèche 22"/>
        <cdr:cNvSpPr/>
      </cdr:nvSpPr>
      <cdr:spPr>
        <a:xfrm xmlns:a="http://schemas.openxmlformats.org/drawingml/2006/main" rot="5400000">
          <a:off x="7115735" y="1546411"/>
          <a:ext cx="156882" cy="26894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0.78766</cdr:x>
      <cdr:y>0.26143</cdr:y>
    </cdr:from>
    <cdr:to>
      <cdr:x>0.82867</cdr:x>
      <cdr:y>0.67125</cdr:y>
    </cdr:to>
    <cdr:sp macro="" textlink="">
      <cdr:nvSpPr>
        <cdr:cNvPr id="25" name="Connecteur droit avec flèche 24"/>
        <cdr:cNvSpPr/>
      </cdr:nvSpPr>
      <cdr:spPr>
        <a:xfrm xmlns:a="http://schemas.openxmlformats.org/drawingml/2006/main" rot="16200000" flipH="1">
          <a:off x="6272187" y="2647698"/>
          <a:ext cx="2494465" cy="38154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0.40226</cdr:x>
      <cdr:y>0.13624</cdr:y>
    </cdr:from>
    <cdr:to>
      <cdr:x>0.42274</cdr:x>
      <cdr:y>0.24302</cdr:y>
    </cdr:to>
    <cdr:sp macro="" textlink="">
      <cdr:nvSpPr>
        <cdr:cNvPr id="16" name="Connecteur droit avec flèche 15"/>
        <cdr:cNvSpPr/>
      </cdr:nvSpPr>
      <cdr:spPr>
        <a:xfrm xmlns:a="http://schemas.openxmlformats.org/drawingml/2006/main" rot="5400000">
          <a:off x="3742765" y="829236"/>
          <a:ext cx="190501" cy="64994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0.56004</cdr:x>
      <cdr:y>0.13376</cdr:y>
    </cdr:from>
    <cdr:to>
      <cdr:x>0.65783</cdr:x>
      <cdr:y>0.25591</cdr:y>
    </cdr:to>
    <cdr:sp macro="" textlink="">
      <cdr:nvSpPr>
        <cdr:cNvPr id="22" name="Connecteur droit avec flèche 21"/>
        <cdr:cNvSpPr/>
      </cdr:nvSpPr>
      <cdr:spPr>
        <a:xfrm xmlns:a="http://schemas.openxmlformats.org/drawingml/2006/main" rot="5400000">
          <a:off x="5210735" y="814132"/>
          <a:ext cx="909894" cy="74348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0.42274</cdr:x>
      <cdr:y>0.13624</cdr:y>
    </cdr:from>
    <cdr:to>
      <cdr:x>0.54679</cdr:x>
      <cdr:y>0.20988</cdr:y>
    </cdr:to>
    <cdr:sp macro="" textlink="">
      <cdr:nvSpPr>
        <cdr:cNvPr id="26" name="Connecteur droit avec flèche 25"/>
        <cdr:cNvSpPr/>
      </cdr:nvSpPr>
      <cdr:spPr>
        <a:xfrm xmlns:a="http://schemas.openxmlformats.org/drawingml/2006/main">
          <a:off x="3933264" y="829235"/>
          <a:ext cx="1154207" cy="44823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70879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0.19382</cdr:x>
      <cdr:y>0.27798</cdr:y>
    </cdr:from>
    <cdr:to>
      <cdr:x>0.25397</cdr:x>
      <cdr:y>0.53956</cdr:y>
    </cdr:to>
    <cdr:sp macro="" textlink="">
      <cdr:nvSpPr>
        <cdr:cNvPr id="15" name="Flèche vers le bas 14"/>
        <cdr:cNvSpPr/>
      </cdr:nvSpPr>
      <cdr:spPr>
        <a:xfrm xmlns:a="http://schemas.openxmlformats.org/drawingml/2006/main">
          <a:off x="1801478" y="1687586"/>
          <a:ext cx="559066" cy="1588043"/>
        </a:xfrm>
        <a:prstGeom xmlns:a="http://schemas.openxmlformats.org/drawingml/2006/main" prst="downArrow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2800"/>
            <a:t>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7228" cy="606701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89196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8194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0.16737</cdr:x>
      <cdr:y>0.12529</cdr:y>
    </cdr:from>
    <cdr:to>
      <cdr:x>0.84167</cdr:x>
      <cdr:y>0.58591</cdr:y>
    </cdr:to>
    <cdr:sp macro="" textlink="">
      <cdr:nvSpPr>
        <cdr:cNvPr id="3" name="Connecteur droit 2"/>
        <cdr:cNvSpPr/>
      </cdr:nvSpPr>
      <cdr:spPr>
        <a:xfrm xmlns:a="http://schemas.openxmlformats.org/drawingml/2006/main">
          <a:off x="1557618" y="762000"/>
          <a:ext cx="6275294" cy="2801471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file:///\\MEB-JEOL\R&#233;mi\" TargetMode="External"/><Relationship Id="rId13" Type="http://schemas.openxmlformats.org/officeDocument/2006/relationships/hyperlink" Target="file:///\\MEB-JEOL\R&#233;mi\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file:///\\MEB-JEOL\R&#233;mi\" TargetMode="External"/><Relationship Id="rId7" Type="http://schemas.openxmlformats.org/officeDocument/2006/relationships/hyperlink" Target="file:///\\MEB-JEOL\R&#233;mi\" TargetMode="External"/><Relationship Id="rId12" Type="http://schemas.openxmlformats.org/officeDocument/2006/relationships/hyperlink" Target="file:///\\MEB-JEOL\R&#233;mi\" TargetMode="External"/><Relationship Id="rId17" Type="http://schemas.openxmlformats.org/officeDocument/2006/relationships/hyperlink" Target="file:///\\MEB-JEOL\R&#233;mi\Pockels%202" TargetMode="External"/><Relationship Id="rId2" Type="http://schemas.openxmlformats.org/officeDocument/2006/relationships/hyperlink" Target="file:///\\MEB-JEOL\R&#233;mi\" TargetMode="External"/><Relationship Id="rId16" Type="http://schemas.openxmlformats.org/officeDocument/2006/relationships/hyperlink" Target="file:///\\MEB-JEOL\R&#233;mi\" TargetMode="External"/><Relationship Id="rId1" Type="http://schemas.openxmlformats.org/officeDocument/2006/relationships/hyperlink" Target="file:///\\MEB-JEOL\R&#233;mi\" TargetMode="External"/><Relationship Id="rId6" Type="http://schemas.openxmlformats.org/officeDocument/2006/relationships/hyperlink" Target="file:///\\MEB-JEOL\R&#233;mi\" TargetMode="External"/><Relationship Id="rId11" Type="http://schemas.openxmlformats.org/officeDocument/2006/relationships/hyperlink" Target="file:///\\MEB-JEOL\R&#233;mi\" TargetMode="External"/><Relationship Id="rId5" Type="http://schemas.openxmlformats.org/officeDocument/2006/relationships/hyperlink" Target="file:///\\MEB-JEOL\R&#233;mi\" TargetMode="External"/><Relationship Id="rId15" Type="http://schemas.openxmlformats.org/officeDocument/2006/relationships/hyperlink" Target="file:///\\MEB-JEOL\R&#233;mi\" TargetMode="External"/><Relationship Id="rId10" Type="http://schemas.openxmlformats.org/officeDocument/2006/relationships/hyperlink" Target="file:///\\MEB-JEOL\R&#233;mi\" TargetMode="External"/><Relationship Id="rId4" Type="http://schemas.openxmlformats.org/officeDocument/2006/relationships/hyperlink" Target="file:///\\MEB-JEOL\R&#233;mi\" TargetMode="External"/><Relationship Id="rId9" Type="http://schemas.openxmlformats.org/officeDocument/2006/relationships/hyperlink" Target="file:///\\MEB-JEOL\R&#233;mi\" TargetMode="External"/><Relationship Id="rId14" Type="http://schemas.openxmlformats.org/officeDocument/2006/relationships/hyperlink" Target="file:///\\MEB-JEOL\R&#233;mi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opLeftCell="B14" workbookViewId="0">
      <selection activeCell="K28" sqref="K28"/>
    </sheetView>
  </sheetViews>
  <sheetFormatPr baseColWidth="10" defaultRowHeight="15"/>
  <cols>
    <col min="1" max="1" width="18.7109375" bestFit="1" customWidth="1"/>
    <col min="2" max="2" width="12.85546875" bestFit="1" customWidth="1"/>
    <col min="3" max="3" width="12.28515625" bestFit="1" customWidth="1"/>
    <col min="4" max="4" width="12" bestFit="1" customWidth="1"/>
    <col min="5" max="5" width="12" style="156" bestFit="1" customWidth="1"/>
    <col min="6" max="6" width="12" bestFit="1" customWidth="1"/>
    <col min="7" max="7" width="12" customWidth="1"/>
    <col min="8" max="8" width="19.28515625" bestFit="1" customWidth="1"/>
    <col min="9" max="9" width="12.140625" bestFit="1" customWidth="1"/>
  </cols>
  <sheetData>
    <row r="1" spans="1:15">
      <c r="A1" s="175" t="s">
        <v>153</v>
      </c>
      <c r="B1" s="175"/>
      <c r="C1" s="175"/>
      <c r="D1" s="175"/>
      <c r="E1" s="175"/>
      <c r="F1" s="175"/>
      <c r="G1" s="175"/>
      <c r="H1" s="175"/>
    </row>
    <row r="3" spans="1:15">
      <c r="A3" s="152" t="s">
        <v>161</v>
      </c>
      <c r="H3" s="174" t="s">
        <v>160</v>
      </c>
      <c r="I3" s="174"/>
      <c r="J3" s="174"/>
      <c r="K3" s="174"/>
      <c r="L3" s="174"/>
    </row>
    <row r="4" spans="1:15">
      <c r="A4" s="153" t="s">
        <v>154</v>
      </c>
      <c r="B4" s="153" t="s">
        <v>158</v>
      </c>
      <c r="C4" s="153" t="s">
        <v>156</v>
      </c>
      <c r="D4" s="153" t="s">
        <v>157</v>
      </c>
      <c r="E4" s="157" t="s">
        <v>155</v>
      </c>
      <c r="F4" s="157" t="s">
        <v>164</v>
      </c>
      <c r="G4" s="157"/>
      <c r="H4" s="153" t="s">
        <v>159</v>
      </c>
      <c r="I4" s="153" t="s">
        <v>165</v>
      </c>
      <c r="J4" s="153" t="s">
        <v>163</v>
      </c>
      <c r="K4" s="153" t="s">
        <v>162</v>
      </c>
    </row>
    <row r="5" spans="1:15">
      <c r="A5">
        <v>2500</v>
      </c>
      <c r="B5" s="1">
        <v>1.0000000000000001E-5</v>
      </c>
      <c r="C5">
        <v>251</v>
      </c>
      <c r="D5">
        <v>2</v>
      </c>
      <c r="E5" s="156">
        <f>B5*(C5+D5)/(C5*(C5-1))</f>
        <v>4.0318725099601599E-8</v>
      </c>
      <c r="F5" s="158">
        <v>10</v>
      </c>
      <c r="G5" s="158"/>
      <c r="H5" s="154">
        <f>0.000000795*F5</f>
        <v>7.9500000000000001E-6</v>
      </c>
      <c r="I5" s="154">
        <f>0.00000005*F5</f>
        <v>4.9999999999999998E-7</v>
      </c>
      <c r="J5" s="1"/>
    </row>
    <row r="6" spans="1:15">
      <c r="A6">
        <v>5000</v>
      </c>
      <c r="B6" s="1">
        <v>5.0000000000000004E-6</v>
      </c>
      <c r="C6">
        <v>251</v>
      </c>
      <c r="D6">
        <v>2</v>
      </c>
      <c r="E6" s="156">
        <f>B6*(C6+D6)/(C6*(C6-1))</f>
        <v>2.0159362549800799E-8</v>
      </c>
    </row>
    <row r="7" spans="1:15">
      <c r="A7">
        <v>10000</v>
      </c>
      <c r="B7" s="1">
        <v>9.9999999999999995E-7</v>
      </c>
      <c r="C7">
        <v>99</v>
      </c>
      <c r="D7">
        <v>2</v>
      </c>
      <c r="E7" s="156">
        <f>B7*(C7+D7)/(C7*(C7-1))</f>
        <v>1.0410224695938982E-8</v>
      </c>
    </row>
    <row r="11" spans="1:15">
      <c r="A11" s="174" t="s">
        <v>174</v>
      </c>
      <c r="B11" s="174"/>
      <c r="C11" s="174"/>
      <c r="D11" s="174"/>
      <c r="E11" s="174"/>
      <c r="F11" s="174"/>
      <c r="G11" s="174"/>
      <c r="H11" s="174"/>
      <c r="I11" s="174"/>
      <c r="J11" s="174"/>
      <c r="K11" s="174"/>
    </row>
    <row r="12" spans="1:15">
      <c r="A12" s="155"/>
      <c r="B12" s="155"/>
      <c r="C12" s="155"/>
      <c r="D12" s="155"/>
      <c r="E12" s="155"/>
      <c r="F12" s="155"/>
      <c r="G12" s="166"/>
      <c r="H12" s="155"/>
    </row>
    <row r="13" spans="1:15">
      <c r="A13" s="174" t="s">
        <v>176</v>
      </c>
      <c r="B13" s="174"/>
      <c r="C13" s="174"/>
      <c r="D13" s="174"/>
      <c r="E13" s="174"/>
      <c r="M13" s="174" t="s">
        <v>175</v>
      </c>
      <c r="N13" s="174"/>
      <c r="O13" s="174"/>
    </row>
    <row r="14" spans="1:15">
      <c r="B14" t="s">
        <v>167</v>
      </c>
      <c r="C14" t="s">
        <v>166</v>
      </c>
      <c r="D14" t="s">
        <v>48</v>
      </c>
      <c r="E14" t="s">
        <v>2</v>
      </c>
      <c r="F14" s="156" t="s">
        <v>3</v>
      </c>
      <c r="G14" s="156" t="s">
        <v>16</v>
      </c>
      <c r="I14" t="s">
        <v>180</v>
      </c>
      <c r="J14" t="s">
        <v>181</v>
      </c>
      <c r="K14" t="s">
        <v>182</v>
      </c>
      <c r="M14" t="s">
        <v>166</v>
      </c>
      <c r="N14" t="s">
        <v>48</v>
      </c>
      <c r="O14" t="s">
        <v>173</v>
      </c>
    </row>
    <row r="15" spans="1:15">
      <c r="A15" s="175" t="s">
        <v>177</v>
      </c>
      <c r="B15">
        <v>3</v>
      </c>
      <c r="C15" s="1">
        <v>2.1799999999999999E-6</v>
      </c>
      <c r="D15" s="1">
        <v>2.8499999999999998E-6</v>
      </c>
      <c r="E15" s="1">
        <f>(C15+D15)/(2*B15)</f>
        <v>8.3833333333333318E-7</v>
      </c>
      <c r="F15" s="1">
        <f>(D15-C15)/(2*B15)</f>
        <v>1.1166666666666666E-7</v>
      </c>
      <c r="G15" s="168">
        <f>F15/E15</f>
        <v>0.13320079522862824</v>
      </c>
      <c r="H15" t="s">
        <v>168</v>
      </c>
      <c r="I15" s="1">
        <v>7.9999999999999996E-7</v>
      </c>
      <c r="J15">
        <v>3.7</v>
      </c>
      <c r="K15" s="1">
        <f>I15/J15</f>
        <v>2.162162162162162E-7</v>
      </c>
      <c r="M15" s="1">
        <v>1.257E-5</v>
      </c>
      <c r="N15" s="1">
        <v>1.4589999999999999E-5</v>
      </c>
      <c r="O15" s="1">
        <f>(M15+N15)/2</f>
        <v>1.3579999999999999E-5</v>
      </c>
    </row>
    <row r="16" spans="1:15">
      <c r="A16" s="175"/>
      <c r="B16">
        <v>3</v>
      </c>
      <c r="C16" s="1">
        <v>2.4499999999999998E-6</v>
      </c>
      <c r="D16" s="1">
        <v>2.9799999999999998E-6</v>
      </c>
      <c r="E16" s="1">
        <f t="shared" ref="E16:E19" si="0">(C16+D16)/(2*B16)</f>
        <v>9.0499999999999991E-7</v>
      </c>
      <c r="F16" s="1">
        <f t="shared" ref="F16:F19" si="1">(D16-C16)/(2*B16)</f>
        <v>8.833333333333333E-8</v>
      </c>
      <c r="G16" s="168">
        <f t="shared" ref="G16:G19" si="2">F16/E16</f>
        <v>9.7605893186003684E-2</v>
      </c>
      <c r="H16" t="s">
        <v>169</v>
      </c>
      <c r="I16" s="1">
        <v>7.9999999999999996E-7</v>
      </c>
      <c r="J16">
        <v>3.7</v>
      </c>
      <c r="K16" s="1">
        <f t="shared" ref="K16:K19" si="3">I16/J16</f>
        <v>2.162162162162162E-7</v>
      </c>
      <c r="M16" s="1">
        <v>9.0299999999999999E-6</v>
      </c>
      <c r="N16" s="1">
        <v>1.3740000000000001E-5</v>
      </c>
      <c r="O16" s="1">
        <f>(M16+N16)/2</f>
        <v>1.1385E-5</v>
      </c>
    </row>
    <row r="17" spans="1:15">
      <c r="A17" s="175"/>
      <c r="B17">
        <v>6</v>
      </c>
      <c r="C17" s="1">
        <v>4.3499999999999999E-6</v>
      </c>
      <c r="D17" s="1">
        <v>4.95E-6</v>
      </c>
      <c r="E17" s="1">
        <f t="shared" si="0"/>
        <v>7.7499999999999989E-7</v>
      </c>
      <c r="F17" s="1">
        <f t="shared" si="1"/>
        <v>5.0000000000000018E-8</v>
      </c>
      <c r="G17" s="168">
        <f t="shared" si="2"/>
        <v>6.451612903225809E-2</v>
      </c>
      <c r="H17" t="s">
        <v>170</v>
      </c>
      <c r="I17" s="1">
        <v>7.9999999999999996E-7</v>
      </c>
      <c r="J17">
        <v>3.7</v>
      </c>
      <c r="K17" s="1">
        <f t="shared" si="3"/>
        <v>2.162162162162162E-7</v>
      </c>
      <c r="M17" s="1"/>
      <c r="N17" t="s">
        <v>171</v>
      </c>
      <c r="O17" s="1">
        <f>AVERAGE(O15:O16)</f>
        <v>1.2482499999999999E-5</v>
      </c>
    </row>
    <row r="18" spans="1:15">
      <c r="A18" s="175" t="s">
        <v>178</v>
      </c>
      <c r="B18">
        <v>5</v>
      </c>
      <c r="C18" s="1">
        <v>1.0899999999999999E-6</v>
      </c>
      <c r="D18" s="1">
        <v>1.26E-6</v>
      </c>
      <c r="E18" s="1">
        <f t="shared" si="0"/>
        <v>2.35E-7</v>
      </c>
      <c r="F18" s="1">
        <f t="shared" si="1"/>
        <v>1.7000000000000007E-8</v>
      </c>
      <c r="G18" s="168">
        <f t="shared" si="2"/>
        <v>7.2340425531914929E-2</v>
      </c>
      <c r="H18" t="s">
        <v>179</v>
      </c>
      <c r="I18" s="1">
        <v>7.9999999999999996E-7</v>
      </c>
      <c r="J18">
        <v>3.7</v>
      </c>
      <c r="K18" s="1">
        <f t="shared" si="3"/>
        <v>2.162162162162162E-7</v>
      </c>
      <c r="N18" t="s">
        <v>172</v>
      </c>
      <c r="O18">
        <f>STDEV(O15:O16)</f>
        <v>1.5520993847044708E-6</v>
      </c>
    </row>
    <row r="19" spans="1:15">
      <c r="A19" s="175"/>
      <c r="B19">
        <v>5</v>
      </c>
      <c r="C19" s="1">
        <v>1.11E-6</v>
      </c>
      <c r="D19" s="1">
        <v>1.2100000000000001E-6</v>
      </c>
      <c r="E19" s="1">
        <f t="shared" si="0"/>
        <v>2.3199999999999999E-7</v>
      </c>
      <c r="F19" s="1">
        <f t="shared" si="1"/>
        <v>1.000000000000001E-8</v>
      </c>
      <c r="G19" s="168">
        <f t="shared" si="2"/>
        <v>4.3103448275862113E-2</v>
      </c>
      <c r="I19" s="1">
        <v>7.9999999999999996E-7</v>
      </c>
      <c r="J19">
        <v>3.7</v>
      </c>
      <c r="K19" s="1">
        <f t="shared" si="3"/>
        <v>2.162162162162162E-7</v>
      </c>
    </row>
    <row r="22" spans="1:15">
      <c r="A22" t="s">
        <v>203</v>
      </c>
      <c r="F22" t="s">
        <v>214</v>
      </c>
    </row>
    <row r="23" spans="1:15">
      <c r="B23" t="s">
        <v>205</v>
      </c>
      <c r="C23" t="s">
        <v>206</v>
      </c>
      <c r="D23" t="s">
        <v>207</v>
      </c>
      <c r="E23" s="156" t="s">
        <v>208</v>
      </c>
      <c r="F23" s="156" t="s">
        <v>211</v>
      </c>
      <c r="G23" s="156" t="s">
        <v>37</v>
      </c>
      <c r="H23" s="156" t="s">
        <v>209</v>
      </c>
      <c r="I23" s="156" t="s">
        <v>210</v>
      </c>
      <c r="J23" s="156" t="s">
        <v>97</v>
      </c>
      <c r="K23" t="s">
        <v>216</v>
      </c>
      <c r="L23" t="s">
        <v>204</v>
      </c>
      <c r="M23" t="s">
        <v>212</v>
      </c>
      <c r="N23" t="s">
        <v>213</v>
      </c>
    </row>
    <row r="24" spans="1:15">
      <c r="B24">
        <v>4</v>
      </c>
      <c r="C24" s="1">
        <v>3.0400000000000001E-6</v>
      </c>
      <c r="D24" s="1">
        <v>3.36E-6</v>
      </c>
      <c r="E24" s="169">
        <f>(D24+C24)/2</f>
        <v>3.1999999999999999E-6</v>
      </c>
      <c r="F24" s="169">
        <f>(D24-C24)/2</f>
        <v>1.5999999999999995E-7</v>
      </c>
      <c r="G24">
        <v>165</v>
      </c>
      <c r="H24">
        <v>1</v>
      </c>
      <c r="I24" s="1">
        <v>5.0000000000000004E-6</v>
      </c>
      <c r="J24" s="169">
        <f>E24/B24</f>
        <v>7.9999999999999996E-7</v>
      </c>
      <c r="K24" s="169">
        <f>(1/B24)*(F24+H24*E24/G24)</f>
        <v>4.4848484848484836E-8</v>
      </c>
      <c r="L24" s="170">
        <f>K24/J24</f>
        <v>5.6060606060606047E-2</v>
      </c>
      <c r="M24" s="1">
        <f>F24/B24</f>
        <v>3.9999999999999988E-8</v>
      </c>
      <c r="N24" s="168">
        <f>M24/J24</f>
        <v>4.9999999999999989E-2</v>
      </c>
    </row>
    <row r="26" spans="1:15">
      <c r="F26" t="s">
        <v>215</v>
      </c>
    </row>
    <row r="27" spans="1:15">
      <c r="C27" t="s">
        <v>206</v>
      </c>
      <c r="E27" s="156" t="s">
        <v>208</v>
      </c>
      <c r="F27" t="s">
        <v>211</v>
      </c>
      <c r="G27" t="s">
        <v>37</v>
      </c>
      <c r="H27" t="s">
        <v>209</v>
      </c>
      <c r="I27" t="s">
        <v>210</v>
      </c>
      <c r="J27" t="s">
        <v>97</v>
      </c>
      <c r="K27" t="s">
        <v>217</v>
      </c>
      <c r="L27" t="s">
        <v>204</v>
      </c>
      <c r="M27" t="s">
        <v>212</v>
      </c>
      <c r="N27" t="s">
        <v>213</v>
      </c>
    </row>
    <row r="28" spans="1:15">
      <c r="B28" t="s">
        <v>218</v>
      </c>
      <c r="C28" s="1">
        <v>7.6000000000000003E-7</v>
      </c>
      <c r="D28" s="1">
        <v>8.1999999999999998E-7</v>
      </c>
      <c r="E28" s="169">
        <f>(D28+C28)/2</f>
        <v>7.9000000000000006E-7</v>
      </c>
      <c r="F28" s="169">
        <f>(D28-C28)/2</f>
        <v>2.9999999999999977E-8</v>
      </c>
      <c r="G28">
        <v>165</v>
      </c>
      <c r="H28">
        <v>1</v>
      </c>
      <c r="I28" s="1">
        <v>5.0000000000000004E-6</v>
      </c>
      <c r="J28" s="169">
        <f>E28</f>
        <v>7.9000000000000006E-7</v>
      </c>
      <c r="K28" s="169">
        <f>F28+(H28/G28)*E28</f>
        <v>3.4787878787878768E-8</v>
      </c>
      <c r="L28" s="170">
        <f>K28/J28</f>
        <v>4.4035289604909829E-2</v>
      </c>
      <c r="M28" t="s">
        <v>26</v>
      </c>
      <c r="N28" s="168">
        <f>F28/E28</f>
        <v>3.7974683544303764E-2</v>
      </c>
    </row>
    <row r="30" spans="1:15">
      <c r="B30" t="s">
        <v>219</v>
      </c>
    </row>
    <row r="31" spans="1:15">
      <c r="B31" t="s">
        <v>220</v>
      </c>
      <c r="C31" t="s">
        <v>206</v>
      </c>
      <c r="E31" s="156" t="s">
        <v>208</v>
      </c>
      <c r="F31" t="s">
        <v>211</v>
      </c>
      <c r="G31" t="s">
        <v>37</v>
      </c>
      <c r="H31" t="s">
        <v>209</v>
      </c>
      <c r="I31" t="s">
        <v>210</v>
      </c>
      <c r="J31" t="s">
        <v>97</v>
      </c>
      <c r="K31" t="s">
        <v>217</v>
      </c>
      <c r="L31" t="s">
        <v>204</v>
      </c>
      <c r="M31" t="s">
        <v>212</v>
      </c>
      <c r="N31" t="s">
        <v>213</v>
      </c>
    </row>
    <row r="32" spans="1:15">
      <c r="B32" t="s">
        <v>221</v>
      </c>
      <c r="C32" s="1">
        <v>6.8999999999999996E-7</v>
      </c>
      <c r="D32" s="1">
        <v>7.1999999999999999E-7</v>
      </c>
      <c r="E32" s="169">
        <f>(D32+C32)/2</f>
        <v>7.0500000000000003E-7</v>
      </c>
      <c r="F32" s="169">
        <f>(D32-C32)/2</f>
        <v>1.5000000000000015E-8</v>
      </c>
      <c r="G32">
        <v>661</v>
      </c>
      <c r="H32">
        <v>1</v>
      </c>
      <c r="I32" s="1">
        <v>5.0000000000000004E-6</v>
      </c>
      <c r="J32" s="169">
        <f>E32</f>
        <v>7.0500000000000003E-7</v>
      </c>
      <c r="K32" s="169">
        <f>F32+(H32/G32)*E32</f>
        <v>1.6066565809379743E-8</v>
      </c>
      <c r="L32" s="170">
        <f>K32/J32</f>
        <v>2.2789455048765592E-2</v>
      </c>
      <c r="M32" t="s">
        <v>26</v>
      </c>
      <c r="N32" s="168">
        <f>F32/E32</f>
        <v>2.1276595744680871E-2</v>
      </c>
    </row>
    <row r="33" spans="2:14">
      <c r="B33">
        <v>15</v>
      </c>
      <c r="C33" s="1">
        <v>1.0210000000000001E-5</v>
      </c>
      <c r="D33" s="1">
        <v>1.06E-5</v>
      </c>
      <c r="E33" s="169">
        <f>(D33+C33)/2</f>
        <v>1.0404999999999999E-5</v>
      </c>
      <c r="F33" s="169">
        <f>(D33-C33)/2</f>
        <v>1.9499999999999983E-7</v>
      </c>
      <c r="G33">
        <v>661</v>
      </c>
      <c r="H33">
        <v>1</v>
      </c>
      <c r="I33" s="1">
        <v>5.0000000000000004E-6</v>
      </c>
      <c r="J33" s="169">
        <f>E33/B33</f>
        <v>6.9366666666666662E-7</v>
      </c>
      <c r="K33" s="169">
        <f>(1/B33)*(F33+H33*E33/G33)</f>
        <v>1.4049420070600089E-8</v>
      </c>
      <c r="L33" s="170">
        <f>K33/J33</f>
        <v>2.0253849212782445E-2</v>
      </c>
      <c r="M33" s="1">
        <f>F33/B33</f>
        <v>1.2999999999999989E-8</v>
      </c>
      <c r="N33" s="168">
        <f>M33/J33</f>
        <v>1.8740989908697728E-2</v>
      </c>
    </row>
  </sheetData>
  <mergeCells count="7">
    <mergeCell ref="M13:O13"/>
    <mergeCell ref="A13:E13"/>
    <mergeCell ref="A15:A17"/>
    <mergeCell ref="A18:A19"/>
    <mergeCell ref="A1:H1"/>
    <mergeCell ref="H3:L3"/>
    <mergeCell ref="A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AO66"/>
  <sheetViews>
    <sheetView topLeftCell="C1" zoomScale="70" zoomScaleNormal="70" workbookViewId="0">
      <pane xSplit="25740" ySplit="390" topLeftCell="U7"/>
      <selection activeCell="Y1" sqref="Y1"/>
      <selection pane="topRight" activeCell="B1" sqref="B1"/>
      <selection pane="bottomLeft" activeCell="D14" sqref="D14"/>
      <selection pane="bottomRight" activeCell="U39" sqref="U39"/>
    </sheetView>
  </sheetViews>
  <sheetFormatPr baseColWidth="10" defaultRowHeight="15"/>
  <cols>
    <col min="1" max="1" width="19.42578125" style="70" bestFit="1" customWidth="1"/>
    <col min="2" max="2" width="19.42578125" style="70" customWidth="1"/>
    <col min="3" max="3" width="15" style="74" bestFit="1" customWidth="1"/>
    <col min="4" max="4" width="14" style="81" bestFit="1" customWidth="1"/>
    <col min="5" max="5" width="10.5703125" style="26" bestFit="1" customWidth="1"/>
    <col min="6" max="6" width="10" style="27" bestFit="1" customWidth="1"/>
    <col min="7" max="7" width="19.140625" style="19" bestFit="1" customWidth="1"/>
    <col min="8" max="8" width="9.7109375" style="19" bestFit="1" customWidth="1"/>
    <col min="9" max="9" width="18.85546875" style="19" customWidth="1"/>
    <col min="11" max="11" width="25.85546875" style="71" bestFit="1" customWidth="1"/>
    <col min="12" max="12" width="8" style="19" customWidth="1"/>
    <col min="13" max="13" width="13.42578125" style="19" customWidth="1"/>
    <col min="14" max="14" width="15.28515625" style="72" bestFit="1" customWidth="1"/>
    <col min="15" max="15" width="20.140625" style="72" customWidth="1"/>
    <col min="16" max="16" width="8.28515625" style="75" bestFit="1" customWidth="1"/>
    <col min="17" max="17" width="17.42578125" style="75" customWidth="1"/>
    <col min="18" max="21" width="11.42578125" style="69"/>
    <col min="22" max="22" width="11.140625" style="23" bestFit="1" customWidth="1"/>
    <col min="23" max="23" width="15.42578125" style="19" bestFit="1" customWidth="1"/>
    <col min="24" max="24" width="8.140625" style="20" bestFit="1" customWidth="1"/>
    <col min="25" max="25" width="12.42578125" style="23" bestFit="1" customWidth="1"/>
    <col min="26" max="30" width="12.42578125" style="19" customWidth="1"/>
    <col min="31" max="31" width="10" style="19" bestFit="1" customWidth="1"/>
    <col min="32" max="32" width="10" style="19" customWidth="1"/>
    <col min="33" max="33" width="19.140625" style="23" customWidth="1"/>
    <col min="34" max="34" width="19.140625" style="19" customWidth="1"/>
    <col min="35" max="35" width="15.28515625" style="39" customWidth="1"/>
    <col min="36" max="36" width="7.7109375" style="19" bestFit="1" customWidth="1"/>
    <col min="37" max="37" width="14.5703125" style="19" bestFit="1" customWidth="1"/>
    <col min="38" max="38" width="14.5703125" style="19" customWidth="1"/>
    <col min="39" max="39" width="28.85546875" style="20" bestFit="1" customWidth="1"/>
    <col min="40" max="16384" width="11.42578125" style="69"/>
  </cols>
  <sheetData>
    <row r="1" spans="1:41" s="3" customFormat="1">
      <c r="A1" s="9" t="s">
        <v>80</v>
      </c>
      <c r="B1" s="9" t="s">
        <v>138</v>
      </c>
      <c r="C1" s="8" t="s">
        <v>51</v>
      </c>
      <c r="D1" s="5" t="s">
        <v>47</v>
      </c>
      <c r="E1" s="6" t="s">
        <v>48</v>
      </c>
      <c r="F1" s="7" t="s">
        <v>49</v>
      </c>
      <c r="G1" s="3" t="s">
        <v>42</v>
      </c>
      <c r="H1" s="3" t="s">
        <v>43</v>
      </c>
      <c r="I1" s="3" t="s">
        <v>83</v>
      </c>
      <c r="K1" s="11" t="s">
        <v>58</v>
      </c>
      <c r="L1" s="3" t="s">
        <v>37</v>
      </c>
      <c r="M1" s="3" t="s">
        <v>102</v>
      </c>
      <c r="N1" s="12" t="s">
        <v>61</v>
      </c>
      <c r="O1" s="12" t="s">
        <v>226</v>
      </c>
      <c r="P1" s="10" t="s">
        <v>50</v>
      </c>
      <c r="Q1" s="10" t="s">
        <v>224</v>
      </c>
      <c r="S1" s="3" t="s">
        <v>90</v>
      </c>
      <c r="T1" s="3" t="s">
        <v>91</v>
      </c>
      <c r="V1" s="2" t="s">
        <v>34</v>
      </c>
      <c r="W1" s="3" t="s">
        <v>35</v>
      </c>
      <c r="X1" s="4" t="s">
        <v>36</v>
      </c>
      <c r="Y1" s="2" t="s">
        <v>41</v>
      </c>
      <c r="Z1" s="3" t="s">
        <v>125</v>
      </c>
      <c r="AA1" s="3" t="s">
        <v>187</v>
      </c>
      <c r="AB1" s="3" t="s">
        <v>84</v>
      </c>
      <c r="AC1" s="3" t="s">
        <v>117</v>
      </c>
      <c r="AD1" s="3" t="s">
        <v>118</v>
      </c>
      <c r="AE1" s="3" t="s">
        <v>66</v>
      </c>
      <c r="AF1" s="3" t="s">
        <v>88</v>
      </c>
      <c r="AG1" s="2" t="s">
        <v>73</v>
      </c>
      <c r="AH1" s="3" t="s">
        <v>78</v>
      </c>
      <c r="AI1" s="8" t="s">
        <v>79</v>
      </c>
      <c r="AJ1" s="3" t="s">
        <v>38</v>
      </c>
      <c r="AK1" s="3" t="s">
        <v>12</v>
      </c>
      <c r="AL1" s="3" t="s">
        <v>114</v>
      </c>
      <c r="AM1" s="4" t="s">
        <v>124</v>
      </c>
      <c r="AN1" s="3" t="s">
        <v>110</v>
      </c>
      <c r="AO1" s="3" t="s">
        <v>137</v>
      </c>
    </row>
    <row r="2" spans="1:41" ht="15" hidden="1" customHeight="1">
      <c r="A2" s="70">
        <v>3.18</v>
      </c>
      <c r="B2" s="70">
        <f t="shared" ref="B2:B5" si="0">C2/G2</f>
        <v>0.85806451612903223</v>
      </c>
      <c r="C2" s="74">
        <f t="shared" ref="C2:C5" si="1">(E2+D2)/2/F2</f>
        <v>665</v>
      </c>
      <c r="D2" s="81">
        <v>600</v>
      </c>
      <c r="E2" s="26">
        <v>730</v>
      </c>
      <c r="F2" s="27">
        <v>1</v>
      </c>
      <c r="G2" s="19">
        <v>775</v>
      </c>
      <c r="H2" s="19">
        <v>0.15</v>
      </c>
      <c r="K2" s="71">
        <f>0.0001*A2*10000/(H2*0.000000000001)</f>
        <v>21200000000000.004</v>
      </c>
      <c r="L2" s="19">
        <v>10</v>
      </c>
      <c r="M2" s="19">
        <f t="shared" ref="M2:M5" si="2">K2*L2</f>
        <v>212000000000000.03</v>
      </c>
      <c r="N2" s="72">
        <f t="shared" ref="N2:N17" si="3">A2*L2</f>
        <v>31.8</v>
      </c>
      <c r="P2" s="75">
        <f t="shared" ref="P2:P5" si="4">(E2-D2)/F2/C2</f>
        <v>0.19548872180451127</v>
      </c>
      <c r="Q2" s="75">
        <f>P2/2</f>
        <v>9.7744360902255634E-2</v>
      </c>
      <c r="R2" s="159"/>
      <c r="S2" s="159"/>
      <c r="T2" s="159"/>
      <c r="V2" s="23" t="s">
        <v>134</v>
      </c>
      <c r="W2" s="19" t="s">
        <v>135</v>
      </c>
      <c r="X2" s="20">
        <v>2006</v>
      </c>
      <c r="Y2" s="23" t="s">
        <v>133</v>
      </c>
      <c r="Z2" s="19" t="s">
        <v>132</v>
      </c>
      <c r="AG2" s="23">
        <v>1000</v>
      </c>
      <c r="AN2" s="69" t="s">
        <v>111</v>
      </c>
    </row>
    <row r="3" spans="1:41" hidden="1">
      <c r="B3" s="70">
        <f t="shared" si="0"/>
        <v>2.8818443804034581</v>
      </c>
      <c r="C3" s="74">
        <f t="shared" si="1"/>
        <v>2000</v>
      </c>
      <c r="D3" s="130">
        <v>2000</v>
      </c>
      <c r="E3" s="74">
        <v>2000</v>
      </c>
      <c r="F3" s="27">
        <v>1</v>
      </c>
      <c r="G3" s="19">
        <v>694</v>
      </c>
      <c r="H3" s="110">
        <f>0.000015*1000000000000</f>
        <v>15000000</v>
      </c>
      <c r="K3" s="71">
        <v>10000</v>
      </c>
      <c r="L3" s="19" t="s">
        <v>62</v>
      </c>
      <c r="M3" s="19" t="e">
        <f t="shared" si="2"/>
        <v>#VALUE!</v>
      </c>
      <c r="N3" s="72" t="e">
        <f t="shared" si="3"/>
        <v>#VALUE!</v>
      </c>
      <c r="P3" s="75">
        <f t="shared" si="4"/>
        <v>0</v>
      </c>
      <c r="Q3" s="75">
        <f t="shared" ref="Q3:Q66" si="5">P3/2</f>
        <v>0</v>
      </c>
      <c r="V3" s="23" t="s">
        <v>136</v>
      </c>
      <c r="Y3" s="23" t="s">
        <v>54</v>
      </c>
      <c r="Z3" s="19" t="s">
        <v>126</v>
      </c>
      <c r="AA3" s="19">
        <v>1.1200000000000001</v>
      </c>
      <c r="AB3" s="19">
        <v>111</v>
      </c>
      <c r="AJ3" s="19">
        <v>75</v>
      </c>
      <c r="AN3" s="69" t="s">
        <v>111</v>
      </c>
      <c r="AO3" s="69">
        <v>0.1</v>
      </c>
    </row>
    <row r="4" spans="1:41" ht="15" hidden="1" customHeight="1">
      <c r="A4" s="70">
        <v>3.18</v>
      </c>
      <c r="B4" s="70">
        <f t="shared" si="0"/>
        <v>0.7870967741935484</v>
      </c>
      <c r="C4" s="74">
        <f t="shared" si="1"/>
        <v>610</v>
      </c>
      <c r="D4" s="81">
        <v>580</v>
      </c>
      <c r="E4" s="26">
        <v>640</v>
      </c>
      <c r="F4" s="27">
        <v>1</v>
      </c>
      <c r="G4" s="19">
        <v>775</v>
      </c>
      <c r="H4" s="19">
        <v>0.15</v>
      </c>
      <c r="K4" s="71">
        <f t="shared" ref="K4:K18" si="6">0.0001*A4*10000/(H4*0.000000000001)</f>
        <v>21200000000000.004</v>
      </c>
      <c r="L4" s="19">
        <v>20</v>
      </c>
      <c r="M4" s="19">
        <f t="shared" si="2"/>
        <v>424000000000000.06</v>
      </c>
      <c r="N4" s="72">
        <f t="shared" si="3"/>
        <v>63.6</v>
      </c>
      <c r="P4" s="75">
        <f t="shared" si="4"/>
        <v>9.8360655737704916E-2</v>
      </c>
      <c r="Q4" s="75">
        <f t="shared" si="5"/>
        <v>4.9180327868852458E-2</v>
      </c>
      <c r="V4" s="23" t="s">
        <v>134</v>
      </c>
      <c r="W4" s="19" t="s">
        <v>135</v>
      </c>
      <c r="X4" s="20">
        <v>2006</v>
      </c>
      <c r="Y4" s="23" t="s">
        <v>133</v>
      </c>
      <c r="Z4" s="19" t="s">
        <v>132</v>
      </c>
    </row>
    <row r="5" spans="1:41" ht="15" hidden="1" customHeight="1">
      <c r="A5" s="70">
        <v>6.36</v>
      </c>
      <c r="B5" s="70">
        <f t="shared" si="0"/>
        <v>0.74064516129032254</v>
      </c>
      <c r="C5" s="74">
        <f t="shared" si="1"/>
        <v>574</v>
      </c>
      <c r="D5" s="73">
        <v>5580</v>
      </c>
      <c r="E5" s="29">
        <v>5900</v>
      </c>
      <c r="F5" s="27">
        <v>10</v>
      </c>
      <c r="G5" s="19">
        <v>775</v>
      </c>
      <c r="H5" s="19">
        <v>0.15</v>
      </c>
      <c r="K5" s="71">
        <f t="shared" si="6"/>
        <v>42400000000000.008</v>
      </c>
      <c r="L5" s="19">
        <v>50</v>
      </c>
      <c r="M5" s="19">
        <f t="shared" si="2"/>
        <v>2120000000000000.5</v>
      </c>
      <c r="N5" s="72">
        <f t="shared" si="3"/>
        <v>318</v>
      </c>
      <c r="P5" s="75">
        <f t="shared" si="4"/>
        <v>5.5749128919860627E-2</v>
      </c>
      <c r="Q5" s="75">
        <f t="shared" si="5"/>
        <v>2.7874564459930314E-2</v>
      </c>
      <c r="R5" s="104"/>
      <c r="S5" s="104"/>
      <c r="T5" s="104"/>
      <c r="V5" s="23" t="s">
        <v>134</v>
      </c>
      <c r="W5" s="19" t="s">
        <v>135</v>
      </c>
      <c r="X5" s="20">
        <v>2006</v>
      </c>
      <c r="Y5" s="23" t="s">
        <v>133</v>
      </c>
      <c r="Z5" s="19" t="s">
        <v>132</v>
      </c>
    </row>
    <row r="6" spans="1:41">
      <c r="A6" s="87">
        <v>3.8</v>
      </c>
      <c r="B6" s="70">
        <f t="shared" ref="B6:B37" si="7">C6/G6</f>
        <v>0.96250000000000002</v>
      </c>
      <c r="C6" s="95">
        <f t="shared" ref="C6:C12" si="8">(E6+D6)/2/F6</f>
        <v>770</v>
      </c>
      <c r="D6" s="92">
        <v>730</v>
      </c>
      <c r="E6" s="93">
        <v>810</v>
      </c>
      <c r="F6" s="94">
        <v>1</v>
      </c>
      <c r="G6" s="84">
        <v>800</v>
      </c>
      <c r="H6" s="84">
        <v>0.13</v>
      </c>
      <c r="I6" s="84"/>
      <c r="K6" s="88">
        <f t="shared" si="6"/>
        <v>29230769230769.234</v>
      </c>
      <c r="L6" s="84">
        <v>1</v>
      </c>
      <c r="M6" s="57">
        <f t="shared" ref="M6:M48" si="9">K6*L6</f>
        <v>29230769230769.234</v>
      </c>
      <c r="N6" s="89">
        <f t="shared" si="3"/>
        <v>3.8</v>
      </c>
      <c r="O6" s="89">
        <f>(E6-D6)/4/F6</f>
        <v>20</v>
      </c>
      <c r="P6" s="96">
        <f t="shared" ref="P6:P12" si="10">(E6-D6)/F6/C6</f>
        <v>0.1038961038961039</v>
      </c>
      <c r="Q6" s="75">
        <f t="shared" ref="Q6:Q37" si="11">P6/2</f>
        <v>5.1948051948051951E-2</v>
      </c>
      <c r="R6" s="97"/>
      <c r="S6" s="98">
        <v>2.28E+28</v>
      </c>
      <c r="T6" s="97" t="s">
        <v>92</v>
      </c>
      <c r="V6" s="82" t="s">
        <v>55</v>
      </c>
      <c r="W6" s="84" t="s">
        <v>57</v>
      </c>
      <c r="X6" s="91">
        <v>2010</v>
      </c>
      <c r="Y6" s="82" t="s">
        <v>54</v>
      </c>
      <c r="Z6" s="19" t="s">
        <v>126</v>
      </c>
      <c r="AA6" s="19">
        <v>1.1200000000000001</v>
      </c>
      <c r="AB6" s="83" t="s">
        <v>87</v>
      </c>
      <c r="AC6" s="109">
        <f t="shared" ref="AC6:AC12" si="12">150/0.0000000000001</f>
        <v>1500000000000000</v>
      </c>
      <c r="AD6" s="109">
        <f t="shared" ref="AD6:AD12" si="13">500/0.0000000000001</f>
        <v>5000000000000000</v>
      </c>
      <c r="AE6" s="84" t="s">
        <v>89</v>
      </c>
      <c r="AF6" s="85">
        <v>10000</v>
      </c>
      <c r="AG6" s="82">
        <v>10</v>
      </c>
      <c r="AH6" s="86">
        <v>-1000000000000000</v>
      </c>
      <c r="AI6" s="90">
        <v>25</v>
      </c>
      <c r="AJ6" s="84">
        <v>0</v>
      </c>
      <c r="AK6" s="84">
        <v>0</v>
      </c>
      <c r="AL6" s="19" t="s">
        <v>115</v>
      </c>
      <c r="AM6" s="91">
        <v>0</v>
      </c>
    </row>
    <row r="7" spans="1:41">
      <c r="A7" s="70">
        <v>0.42</v>
      </c>
      <c r="B7" s="70">
        <f t="shared" si="7"/>
        <v>0.875</v>
      </c>
      <c r="C7" s="74">
        <f t="shared" si="8"/>
        <v>700</v>
      </c>
      <c r="D7" s="81">
        <v>650</v>
      </c>
      <c r="E7" s="26">
        <v>750</v>
      </c>
      <c r="F7" s="27">
        <v>1</v>
      </c>
      <c r="G7" s="56">
        <v>800</v>
      </c>
      <c r="H7" s="56">
        <v>0.13</v>
      </c>
      <c r="I7" s="56"/>
      <c r="K7" s="71">
        <f t="shared" si="6"/>
        <v>3230769230769.2305</v>
      </c>
      <c r="L7" s="56">
        <v>5</v>
      </c>
      <c r="M7" s="57">
        <f t="shared" si="9"/>
        <v>16153846153846.152</v>
      </c>
      <c r="N7" s="72">
        <f t="shared" si="3"/>
        <v>2.1</v>
      </c>
      <c r="O7" s="173">
        <f t="shared" ref="O7:O12" si="14">(E7-D7)/4/F7</f>
        <v>25</v>
      </c>
      <c r="P7" s="75">
        <f t="shared" si="10"/>
        <v>0.14285714285714285</v>
      </c>
      <c r="Q7" s="75">
        <f t="shared" si="11"/>
        <v>7.1428571428571425E-2</v>
      </c>
      <c r="R7" s="159"/>
      <c r="S7" s="159"/>
      <c r="T7" s="159"/>
      <c r="V7" s="23" t="s">
        <v>55</v>
      </c>
      <c r="W7" s="56" t="s">
        <v>57</v>
      </c>
      <c r="X7" s="20">
        <v>2010</v>
      </c>
      <c r="Y7" s="23" t="s">
        <v>54</v>
      </c>
      <c r="Z7" s="19" t="s">
        <v>126</v>
      </c>
      <c r="AA7" s="19">
        <v>1.1200000000000001</v>
      </c>
      <c r="AB7" s="99" t="s">
        <v>87</v>
      </c>
      <c r="AC7" s="108">
        <f t="shared" si="12"/>
        <v>1500000000000000</v>
      </c>
      <c r="AD7" s="108">
        <f t="shared" si="13"/>
        <v>5000000000000000</v>
      </c>
      <c r="AE7" s="19" t="s">
        <v>89</v>
      </c>
      <c r="AF7" s="57">
        <v>10000</v>
      </c>
      <c r="AG7" s="38">
        <v>10</v>
      </c>
      <c r="AH7" s="77">
        <v>-1000000000000000</v>
      </c>
      <c r="AI7" s="39">
        <v>25</v>
      </c>
      <c r="AJ7" s="56">
        <v>0</v>
      </c>
      <c r="AK7" s="19">
        <v>0</v>
      </c>
      <c r="AL7" s="19" t="s">
        <v>115</v>
      </c>
      <c r="AM7" s="78">
        <v>0</v>
      </c>
    </row>
    <row r="8" spans="1:41">
      <c r="A8" s="70">
        <v>2.5</v>
      </c>
      <c r="B8" s="70">
        <f t="shared" si="7"/>
        <v>0.87920673076923073</v>
      </c>
      <c r="C8" s="74">
        <f t="shared" si="8"/>
        <v>685.78125</v>
      </c>
      <c r="D8" s="81">
        <v>21630</v>
      </c>
      <c r="E8" s="26">
        <v>22260</v>
      </c>
      <c r="F8" s="27">
        <v>32</v>
      </c>
      <c r="G8" s="56">
        <v>780</v>
      </c>
      <c r="H8" s="21">
        <v>5.0000000000000001E-3</v>
      </c>
      <c r="I8" s="21"/>
      <c r="K8" s="71">
        <f t="shared" si="6"/>
        <v>500000000000000</v>
      </c>
      <c r="L8" s="56">
        <v>5</v>
      </c>
      <c r="M8" s="57">
        <f t="shared" si="9"/>
        <v>2500000000000000</v>
      </c>
      <c r="N8" s="72">
        <f t="shared" si="3"/>
        <v>12.5</v>
      </c>
      <c r="O8" s="173">
        <f t="shared" si="14"/>
        <v>4.921875</v>
      </c>
      <c r="P8" s="75">
        <f t="shared" si="10"/>
        <v>2.8708133971291867E-2</v>
      </c>
      <c r="Q8" s="75">
        <f t="shared" si="11"/>
        <v>1.4354066985645933E-2</v>
      </c>
      <c r="V8" s="23" t="s">
        <v>55</v>
      </c>
      <c r="W8" s="56" t="s">
        <v>56</v>
      </c>
      <c r="X8" s="20">
        <v>2001</v>
      </c>
      <c r="Y8" s="23" t="s">
        <v>54</v>
      </c>
      <c r="Z8" s="19" t="s">
        <v>126</v>
      </c>
      <c r="AA8" s="19">
        <v>1.1200000000000001</v>
      </c>
      <c r="AB8" s="99" t="s">
        <v>87</v>
      </c>
      <c r="AC8" s="108">
        <f t="shared" si="12"/>
        <v>1500000000000000</v>
      </c>
      <c r="AD8" s="108">
        <f t="shared" si="13"/>
        <v>5000000000000000</v>
      </c>
      <c r="AE8" s="19" t="s">
        <v>89</v>
      </c>
      <c r="AF8" s="77">
        <v>10000</v>
      </c>
      <c r="AG8" s="38"/>
      <c r="AH8" s="77">
        <v>-1000000000000000</v>
      </c>
      <c r="AJ8" s="19">
        <v>0</v>
      </c>
      <c r="AK8" s="19">
        <v>0</v>
      </c>
      <c r="AL8" s="19" t="s">
        <v>115</v>
      </c>
      <c r="AM8" s="78">
        <v>0</v>
      </c>
    </row>
    <row r="9" spans="1:41">
      <c r="A9" s="70">
        <v>0.42</v>
      </c>
      <c r="B9" s="70">
        <f t="shared" si="7"/>
        <v>0.893452380952381</v>
      </c>
      <c r="C9" s="74">
        <f t="shared" si="8"/>
        <v>714.76190476190482</v>
      </c>
      <c r="D9" s="81">
        <v>14680</v>
      </c>
      <c r="E9" s="26">
        <v>15340</v>
      </c>
      <c r="F9" s="27">
        <v>21</v>
      </c>
      <c r="G9" s="56">
        <v>800</v>
      </c>
      <c r="H9" s="56">
        <v>0.13</v>
      </c>
      <c r="I9" s="56"/>
      <c r="K9" s="71">
        <f t="shared" si="6"/>
        <v>3230769230769.2305</v>
      </c>
      <c r="L9" s="56">
        <v>5</v>
      </c>
      <c r="M9" s="57">
        <f t="shared" si="9"/>
        <v>16153846153846.152</v>
      </c>
      <c r="N9" s="72">
        <f t="shared" si="3"/>
        <v>2.1</v>
      </c>
      <c r="O9" s="173">
        <f t="shared" si="14"/>
        <v>7.8571428571428568</v>
      </c>
      <c r="P9" s="75">
        <f t="shared" si="10"/>
        <v>4.3970686209193866E-2</v>
      </c>
      <c r="Q9" s="75">
        <f t="shared" si="11"/>
        <v>2.1985343104596933E-2</v>
      </c>
      <c r="V9" s="23" t="s">
        <v>55</v>
      </c>
      <c r="W9" s="56" t="s">
        <v>57</v>
      </c>
      <c r="X9" s="20">
        <v>2010</v>
      </c>
      <c r="Y9" s="23" t="s">
        <v>54</v>
      </c>
      <c r="Z9" s="19" t="s">
        <v>126</v>
      </c>
      <c r="AA9" s="19">
        <v>1.1200000000000001</v>
      </c>
      <c r="AB9" s="99" t="s">
        <v>87</v>
      </c>
      <c r="AC9" s="108">
        <f t="shared" si="12"/>
        <v>1500000000000000</v>
      </c>
      <c r="AD9" s="108">
        <f t="shared" si="13"/>
        <v>5000000000000000</v>
      </c>
      <c r="AE9" s="19" t="s">
        <v>89</v>
      </c>
      <c r="AF9" s="57">
        <v>10000</v>
      </c>
      <c r="AG9" s="38">
        <v>10</v>
      </c>
      <c r="AH9" s="77">
        <v>-1000000000000000</v>
      </c>
      <c r="AI9" s="39">
        <v>25</v>
      </c>
      <c r="AJ9" s="56">
        <v>0</v>
      </c>
      <c r="AK9" s="19">
        <v>0</v>
      </c>
      <c r="AL9" s="19" t="s">
        <v>115</v>
      </c>
      <c r="AM9" s="78">
        <v>0</v>
      </c>
      <c r="AO9" s="167"/>
    </row>
    <row r="10" spans="1:41">
      <c r="A10" s="70">
        <v>0.42</v>
      </c>
      <c r="B10" s="70">
        <f t="shared" si="7"/>
        <v>0.9319078947368421</v>
      </c>
      <c r="C10" s="74">
        <f t="shared" si="8"/>
        <v>745.52631578947364</v>
      </c>
      <c r="D10" s="73">
        <v>13960</v>
      </c>
      <c r="E10" s="29">
        <v>14370</v>
      </c>
      <c r="F10" s="27">
        <v>19</v>
      </c>
      <c r="G10" s="56">
        <v>800</v>
      </c>
      <c r="H10" s="56">
        <v>0.13</v>
      </c>
      <c r="I10" s="56"/>
      <c r="K10" s="71">
        <f t="shared" si="6"/>
        <v>3230769230769.2305</v>
      </c>
      <c r="L10" s="56">
        <v>5</v>
      </c>
      <c r="M10" s="57">
        <f t="shared" si="9"/>
        <v>16153846153846.152</v>
      </c>
      <c r="N10" s="72">
        <f t="shared" si="3"/>
        <v>2.1</v>
      </c>
      <c r="O10" s="173">
        <f t="shared" si="14"/>
        <v>5.3947368421052628</v>
      </c>
      <c r="P10" s="75">
        <f t="shared" si="10"/>
        <v>2.8944581715495941E-2</v>
      </c>
      <c r="Q10" s="75">
        <f t="shared" si="11"/>
        <v>1.447229085774797E-2</v>
      </c>
      <c r="V10" s="23" t="s">
        <v>55</v>
      </c>
      <c r="W10" s="56" t="s">
        <v>65</v>
      </c>
      <c r="X10" s="20">
        <v>2009</v>
      </c>
      <c r="Y10" s="23" t="s">
        <v>54</v>
      </c>
      <c r="Z10" s="19" t="s">
        <v>126</v>
      </c>
      <c r="AA10" s="19">
        <v>1.1200000000000001</v>
      </c>
      <c r="AB10" s="99" t="s">
        <v>87</v>
      </c>
      <c r="AC10" s="108">
        <f t="shared" si="12"/>
        <v>1500000000000000</v>
      </c>
      <c r="AD10" s="108">
        <f t="shared" si="13"/>
        <v>5000000000000000</v>
      </c>
      <c r="AE10" s="76" t="s">
        <v>89</v>
      </c>
      <c r="AF10" s="57">
        <v>10000</v>
      </c>
      <c r="AG10" s="38"/>
      <c r="AH10" s="77">
        <v>-1000000000000000</v>
      </c>
      <c r="AI10" s="39">
        <v>25.8</v>
      </c>
      <c r="AJ10" s="56">
        <v>0</v>
      </c>
      <c r="AK10" s="19">
        <v>0</v>
      </c>
      <c r="AL10" s="19" t="s">
        <v>115</v>
      </c>
      <c r="AM10" s="78">
        <v>0</v>
      </c>
      <c r="AN10" s="112"/>
      <c r="AO10" s="112"/>
    </row>
    <row r="11" spans="1:41">
      <c r="A11" s="70">
        <v>0.42</v>
      </c>
      <c r="B11" s="70">
        <f t="shared" si="7"/>
        <v>0.93388157894736834</v>
      </c>
      <c r="C11" s="74">
        <f t="shared" si="8"/>
        <v>747.10526315789468</v>
      </c>
      <c r="D11" s="81">
        <v>14050</v>
      </c>
      <c r="E11" s="26">
        <v>14340</v>
      </c>
      <c r="F11" s="27">
        <v>19</v>
      </c>
      <c r="G11" s="56">
        <v>800</v>
      </c>
      <c r="H11" s="56">
        <v>0.13</v>
      </c>
      <c r="I11" s="56"/>
      <c r="K11" s="71">
        <f t="shared" si="6"/>
        <v>3230769230769.2305</v>
      </c>
      <c r="L11" s="56">
        <v>5</v>
      </c>
      <c r="M11" s="57">
        <f t="shared" si="9"/>
        <v>16153846153846.152</v>
      </c>
      <c r="N11" s="72">
        <f t="shared" si="3"/>
        <v>2.1</v>
      </c>
      <c r="O11" s="173">
        <f t="shared" si="14"/>
        <v>3.8157894736842106</v>
      </c>
      <c r="P11" s="80">
        <f t="shared" si="10"/>
        <v>2.0429728777738642E-2</v>
      </c>
      <c r="Q11" s="75">
        <f t="shared" si="11"/>
        <v>1.0214864388869321E-2</v>
      </c>
      <c r="V11" s="23" t="s">
        <v>55</v>
      </c>
      <c r="W11" s="56" t="s">
        <v>56</v>
      </c>
      <c r="X11" s="20">
        <v>2001</v>
      </c>
      <c r="Y11" s="23" t="s">
        <v>54</v>
      </c>
      <c r="Z11" s="19" t="s">
        <v>126</v>
      </c>
      <c r="AA11" s="19">
        <v>1.1200000000000001</v>
      </c>
      <c r="AB11" s="99" t="s">
        <v>87</v>
      </c>
      <c r="AC11" s="108">
        <f t="shared" si="12"/>
        <v>1500000000000000</v>
      </c>
      <c r="AD11" s="108">
        <f t="shared" si="13"/>
        <v>5000000000000000</v>
      </c>
      <c r="AE11" s="19" t="s">
        <v>89</v>
      </c>
      <c r="AF11" s="57">
        <v>10000</v>
      </c>
      <c r="AG11" s="38"/>
      <c r="AH11" s="77">
        <v>-1000000000000000</v>
      </c>
      <c r="AJ11" s="19">
        <v>0</v>
      </c>
      <c r="AK11" s="19">
        <v>0</v>
      </c>
      <c r="AL11" s="19" t="s">
        <v>115</v>
      </c>
      <c r="AM11" s="78">
        <v>0</v>
      </c>
      <c r="AN11" s="159"/>
      <c r="AO11" s="159"/>
    </row>
    <row r="12" spans="1:41">
      <c r="A12" s="70">
        <v>0.42</v>
      </c>
      <c r="B12" s="70">
        <f t="shared" si="7"/>
        <v>0.85124999999999995</v>
      </c>
      <c r="C12" s="74">
        <f t="shared" si="8"/>
        <v>681</v>
      </c>
      <c r="D12" s="81">
        <v>631</v>
      </c>
      <c r="E12" s="26">
        <v>731</v>
      </c>
      <c r="F12" s="27">
        <v>1</v>
      </c>
      <c r="G12" s="56">
        <v>800</v>
      </c>
      <c r="H12" s="56">
        <v>0.13</v>
      </c>
      <c r="I12" s="56"/>
      <c r="K12" s="71">
        <f t="shared" si="6"/>
        <v>3230769230769.2305</v>
      </c>
      <c r="L12" s="56">
        <v>10</v>
      </c>
      <c r="M12" s="57">
        <f t="shared" si="9"/>
        <v>32307692307692.305</v>
      </c>
      <c r="N12" s="72">
        <f t="shared" si="3"/>
        <v>4.2</v>
      </c>
      <c r="O12" s="173">
        <f t="shared" si="14"/>
        <v>25</v>
      </c>
      <c r="P12" s="75">
        <f t="shared" si="10"/>
        <v>0.14684287812041116</v>
      </c>
      <c r="Q12" s="75">
        <f t="shared" si="11"/>
        <v>7.3421439060205582E-2</v>
      </c>
      <c r="V12" s="23" t="s">
        <v>55</v>
      </c>
      <c r="W12" s="56" t="s">
        <v>57</v>
      </c>
      <c r="X12" s="20">
        <v>2010</v>
      </c>
      <c r="Y12" s="23" t="s">
        <v>54</v>
      </c>
      <c r="Z12" s="19" t="s">
        <v>126</v>
      </c>
      <c r="AA12" s="19">
        <v>1.1200000000000001</v>
      </c>
      <c r="AB12" s="99" t="s">
        <v>87</v>
      </c>
      <c r="AC12" s="108">
        <f t="shared" si="12"/>
        <v>1500000000000000</v>
      </c>
      <c r="AD12" s="108">
        <f t="shared" si="13"/>
        <v>5000000000000000</v>
      </c>
      <c r="AE12" s="19" t="s">
        <v>89</v>
      </c>
      <c r="AF12" s="57">
        <v>10000</v>
      </c>
      <c r="AG12" s="38">
        <v>10</v>
      </c>
      <c r="AH12" s="77">
        <v>-1000000000000000</v>
      </c>
      <c r="AI12" s="39">
        <v>25</v>
      </c>
      <c r="AJ12" s="56">
        <v>0</v>
      </c>
      <c r="AK12" s="19">
        <v>0</v>
      </c>
      <c r="AL12" s="19" t="s">
        <v>115</v>
      </c>
      <c r="AM12" s="78">
        <v>0</v>
      </c>
    </row>
    <row r="13" spans="1:41">
      <c r="B13" s="70">
        <f t="shared" si="7"/>
        <v>0.76190476190476186</v>
      </c>
      <c r="C13" s="74">
        <v>1600</v>
      </c>
      <c r="D13" s="73"/>
      <c r="E13" s="29"/>
      <c r="G13" s="56">
        <v>2100</v>
      </c>
      <c r="H13" s="56">
        <v>0.09</v>
      </c>
      <c r="I13" s="21">
        <v>3.8E-6</v>
      </c>
      <c r="J13" s="97"/>
      <c r="K13" s="71">
        <f t="shared" si="6"/>
        <v>0</v>
      </c>
      <c r="L13" s="56">
        <v>20</v>
      </c>
      <c r="M13" s="57">
        <f t="shared" si="9"/>
        <v>0</v>
      </c>
      <c r="N13" s="72">
        <f t="shared" si="3"/>
        <v>0</v>
      </c>
      <c r="O13" s="89" t="e">
        <f t="shared" ref="O13" si="15">(E13-D13)/2/F13</f>
        <v>#DIV/0!</v>
      </c>
      <c r="Q13" s="75">
        <f t="shared" si="11"/>
        <v>0</v>
      </c>
      <c r="V13" s="23" t="s">
        <v>39</v>
      </c>
      <c r="W13" s="19" t="s">
        <v>40</v>
      </c>
      <c r="X13" s="20">
        <v>2003</v>
      </c>
      <c r="Y13" s="23" t="s">
        <v>54</v>
      </c>
      <c r="AC13" s="108"/>
      <c r="AD13" s="108"/>
      <c r="AE13" s="56"/>
      <c r="AF13" s="57"/>
    </row>
    <row r="14" spans="1:41" ht="15" hidden="1" customHeight="1">
      <c r="A14" s="70">
        <f>0.0000011/((0.0000155/2)^2*PI())*0.0001</f>
        <v>0.58296087376011618</v>
      </c>
      <c r="B14" s="70">
        <f t="shared" si="7"/>
        <v>0.20476190476190476</v>
      </c>
      <c r="C14" s="74">
        <v>430</v>
      </c>
      <c r="G14" s="19">
        <v>2100</v>
      </c>
      <c r="H14" s="19">
        <v>0.2</v>
      </c>
      <c r="K14" s="71">
        <f t="shared" si="6"/>
        <v>2914804368800.5811</v>
      </c>
      <c r="L14" s="56">
        <v>20</v>
      </c>
      <c r="M14" s="57">
        <f t="shared" si="9"/>
        <v>58296087376011.625</v>
      </c>
      <c r="N14" s="72">
        <f t="shared" si="3"/>
        <v>11.659217475202324</v>
      </c>
      <c r="Q14" s="75">
        <f t="shared" si="11"/>
        <v>0</v>
      </c>
      <c r="V14" s="23" t="s">
        <v>39</v>
      </c>
      <c r="W14" s="19" t="s">
        <v>40</v>
      </c>
      <c r="X14" s="20">
        <v>2003</v>
      </c>
      <c r="Y14" s="23" t="s">
        <v>52</v>
      </c>
      <c r="Z14" s="19" t="s">
        <v>126</v>
      </c>
      <c r="AC14" s="110"/>
      <c r="AD14" s="110"/>
      <c r="AE14" s="76" t="s">
        <v>89</v>
      </c>
      <c r="AF14" s="77">
        <v>10000</v>
      </c>
      <c r="AJ14" s="19">
        <v>0</v>
      </c>
      <c r="AK14" s="19">
        <v>0</v>
      </c>
      <c r="AL14" s="19" t="s">
        <v>115</v>
      </c>
      <c r="AM14" s="78">
        <v>0</v>
      </c>
    </row>
    <row r="15" spans="1:41" s="97" customFormat="1">
      <c r="A15" s="70"/>
      <c r="B15" s="70">
        <f t="shared" si="7"/>
        <v>0.80769230769230771</v>
      </c>
      <c r="C15" s="74">
        <v>1050</v>
      </c>
      <c r="D15" s="73"/>
      <c r="E15" s="29"/>
      <c r="F15" s="27"/>
      <c r="G15" s="56">
        <v>1300</v>
      </c>
      <c r="H15" s="56">
        <v>0.09</v>
      </c>
      <c r="I15" s="21"/>
      <c r="K15" s="71">
        <f t="shared" si="6"/>
        <v>0</v>
      </c>
      <c r="L15" s="56">
        <v>20</v>
      </c>
      <c r="M15" s="57">
        <f t="shared" si="9"/>
        <v>0</v>
      </c>
      <c r="N15" s="72">
        <f t="shared" si="3"/>
        <v>0</v>
      </c>
      <c r="O15" s="89" t="e">
        <f t="shared" ref="O15:O16" si="16">(E15-D15)/2/F15</f>
        <v>#DIV/0!</v>
      </c>
      <c r="P15" s="75"/>
      <c r="Q15" s="75">
        <f t="shared" si="11"/>
        <v>0</v>
      </c>
      <c r="R15" s="69"/>
      <c r="S15" s="69"/>
      <c r="T15" s="69"/>
      <c r="U15" s="103"/>
      <c r="V15" s="23" t="s">
        <v>39</v>
      </c>
      <c r="W15" s="19" t="s">
        <v>40</v>
      </c>
      <c r="X15" s="20">
        <v>2003</v>
      </c>
      <c r="Y15" s="23" t="s">
        <v>54</v>
      </c>
      <c r="Z15" s="19"/>
      <c r="AA15" s="19">
        <v>1.1200000000000001</v>
      </c>
      <c r="AB15" s="19"/>
      <c r="AC15" s="108"/>
      <c r="AD15" s="108"/>
      <c r="AE15" s="56"/>
      <c r="AF15" s="57"/>
      <c r="AG15" s="23"/>
      <c r="AH15" s="19"/>
      <c r="AI15" s="39"/>
      <c r="AJ15" s="19"/>
      <c r="AK15" s="19"/>
      <c r="AL15" s="19"/>
      <c r="AM15" s="20"/>
      <c r="AN15" s="104"/>
      <c r="AO15" s="104"/>
    </row>
    <row r="16" spans="1:41" s="159" customFormat="1">
      <c r="A16" s="70"/>
      <c r="B16" s="70">
        <f t="shared" si="7"/>
        <v>0.8125</v>
      </c>
      <c r="C16" s="74">
        <v>650</v>
      </c>
      <c r="D16" s="73"/>
      <c r="E16" s="29"/>
      <c r="F16" s="27"/>
      <c r="G16" s="56">
        <v>800</v>
      </c>
      <c r="H16" s="56">
        <v>0.09</v>
      </c>
      <c r="I16" s="21"/>
      <c r="J16" s="97"/>
      <c r="K16" s="71">
        <f t="shared" si="6"/>
        <v>0</v>
      </c>
      <c r="L16" s="56">
        <v>20</v>
      </c>
      <c r="M16" s="57">
        <f t="shared" si="9"/>
        <v>0</v>
      </c>
      <c r="N16" s="72">
        <f t="shared" si="3"/>
        <v>0</v>
      </c>
      <c r="O16" s="89" t="e">
        <f t="shared" si="16"/>
        <v>#DIV/0!</v>
      </c>
      <c r="P16" s="75"/>
      <c r="Q16" s="75">
        <f t="shared" si="11"/>
        <v>0</v>
      </c>
      <c r="V16" s="23" t="s">
        <v>39</v>
      </c>
      <c r="W16" s="19" t="s">
        <v>40</v>
      </c>
      <c r="X16" s="20">
        <v>2003</v>
      </c>
      <c r="Y16" s="23" t="s">
        <v>54</v>
      </c>
      <c r="Z16" s="19"/>
      <c r="AA16" s="19">
        <v>1.1200000000000001</v>
      </c>
      <c r="AB16" s="19"/>
      <c r="AC16" s="108"/>
      <c r="AD16" s="108"/>
      <c r="AE16" s="56"/>
      <c r="AF16" s="57"/>
      <c r="AG16" s="23"/>
      <c r="AH16" s="19"/>
      <c r="AI16" s="39"/>
      <c r="AJ16" s="19"/>
      <c r="AK16" s="19"/>
      <c r="AL16" s="19"/>
      <c r="AM16" s="20"/>
    </row>
    <row r="17" spans="1:41" s="159" customFormat="1">
      <c r="A17" s="70">
        <f>0.0000011/((0.0000155/2)^2*PI())*0.0001</f>
        <v>0.58296087376011618</v>
      </c>
      <c r="B17" s="70">
        <f t="shared" si="7"/>
        <v>0.82797619047619042</v>
      </c>
      <c r="C17" s="74">
        <f t="shared" ref="C17:C38" si="17">(E17+D17)/2/F17</f>
        <v>1738.75</v>
      </c>
      <c r="D17" s="81">
        <v>6650</v>
      </c>
      <c r="E17" s="26">
        <v>7260</v>
      </c>
      <c r="F17" s="27">
        <v>4</v>
      </c>
      <c r="G17" s="19">
        <v>2100</v>
      </c>
      <c r="H17" s="19">
        <v>0.2</v>
      </c>
      <c r="I17" s="19"/>
      <c r="J17"/>
      <c r="K17" s="71">
        <f t="shared" si="6"/>
        <v>2914804368800.5811</v>
      </c>
      <c r="L17" s="56">
        <v>20</v>
      </c>
      <c r="M17" s="57">
        <f t="shared" si="9"/>
        <v>58296087376011.625</v>
      </c>
      <c r="N17" s="72">
        <f t="shared" si="3"/>
        <v>11.659217475202324</v>
      </c>
      <c r="O17" s="173">
        <f t="shared" ref="O17:O20" si="18">(E17-D17)/4/F17</f>
        <v>38.125</v>
      </c>
      <c r="P17" s="80">
        <f t="shared" ref="P17:P43" si="19">(E17-D17)/F17/C17</f>
        <v>8.7706685837526957E-2</v>
      </c>
      <c r="Q17" s="75">
        <f t="shared" si="11"/>
        <v>4.3853342918763479E-2</v>
      </c>
      <c r="V17" s="23" t="s">
        <v>39</v>
      </c>
      <c r="W17" s="19" t="s">
        <v>40</v>
      </c>
      <c r="X17" s="20">
        <v>2003</v>
      </c>
      <c r="Y17" s="23" t="s">
        <v>54</v>
      </c>
      <c r="Z17" s="19" t="s">
        <v>126</v>
      </c>
      <c r="AA17" s="19"/>
      <c r="AB17" s="99" t="s">
        <v>86</v>
      </c>
      <c r="AC17" s="108">
        <f>150/0.0000000000001</f>
        <v>1500000000000000</v>
      </c>
      <c r="AD17" s="108">
        <f>500/0.0000000000001</f>
        <v>5000000000000000</v>
      </c>
      <c r="AE17" s="19" t="s">
        <v>89</v>
      </c>
      <c r="AF17" s="57">
        <v>10000</v>
      </c>
      <c r="AG17" s="23"/>
      <c r="AH17" s="19"/>
      <c r="AI17" s="39">
        <v>8.1999999999999993</v>
      </c>
      <c r="AJ17" s="19">
        <v>0</v>
      </c>
      <c r="AK17" s="19">
        <v>0</v>
      </c>
      <c r="AL17" s="19" t="s">
        <v>115</v>
      </c>
      <c r="AM17" s="78">
        <v>0</v>
      </c>
    </row>
    <row r="18" spans="1:41" s="159" customFormat="1">
      <c r="A18" s="70">
        <v>6.5</v>
      </c>
      <c r="B18" s="70">
        <f t="shared" si="7"/>
        <v>0.69287211740041932</v>
      </c>
      <c r="C18" s="74">
        <f t="shared" si="17"/>
        <v>550.83333333333337</v>
      </c>
      <c r="D18" s="73">
        <v>3110</v>
      </c>
      <c r="E18" s="29">
        <v>3500</v>
      </c>
      <c r="F18" s="27">
        <v>6</v>
      </c>
      <c r="G18" s="56">
        <v>795</v>
      </c>
      <c r="H18" s="56">
        <v>0.19</v>
      </c>
      <c r="I18" s="56"/>
      <c r="J18"/>
      <c r="K18" s="71">
        <f t="shared" si="6"/>
        <v>34210526315789.48</v>
      </c>
      <c r="L18" s="56">
        <v>25</v>
      </c>
      <c r="M18" s="57">
        <f t="shared" si="9"/>
        <v>855263157894737</v>
      </c>
      <c r="N18" s="72">
        <f>A18*L19</f>
        <v>325</v>
      </c>
      <c r="O18" s="173">
        <f t="shared" si="18"/>
        <v>16.25</v>
      </c>
      <c r="P18" s="75">
        <f t="shared" si="19"/>
        <v>0.11800302571860816</v>
      </c>
      <c r="Q18" s="75">
        <f t="shared" si="11"/>
        <v>5.9001512859304078E-2</v>
      </c>
      <c r="V18" s="23" t="s">
        <v>74</v>
      </c>
      <c r="W18" s="56" t="s">
        <v>75</v>
      </c>
      <c r="X18" s="20">
        <v>2006</v>
      </c>
      <c r="Y18" s="23" t="s">
        <v>54</v>
      </c>
      <c r="Z18" s="19" t="s">
        <v>126</v>
      </c>
      <c r="AA18" s="19">
        <v>1.1200000000000001</v>
      </c>
      <c r="AB18" s="99" t="s">
        <v>86</v>
      </c>
      <c r="AC18" s="108">
        <f>150/0.0000000000001</f>
        <v>1500000000000000</v>
      </c>
      <c r="AD18" s="108">
        <f>500/0.0000000000001</f>
        <v>5000000000000000</v>
      </c>
      <c r="AE18" s="19" t="s">
        <v>89</v>
      </c>
      <c r="AF18" s="57">
        <v>10000</v>
      </c>
      <c r="AG18" s="23">
        <v>100</v>
      </c>
      <c r="AH18" s="19"/>
      <c r="AI18" s="39">
        <v>26</v>
      </c>
      <c r="AJ18" s="19"/>
      <c r="AK18" s="19"/>
      <c r="AL18" s="19" t="s">
        <v>115</v>
      </c>
      <c r="AM18" s="20"/>
    </row>
    <row r="19" spans="1:41">
      <c r="A19" s="70">
        <v>6.5</v>
      </c>
      <c r="B19" s="70">
        <f t="shared" si="7"/>
        <v>0.73699256718124639</v>
      </c>
      <c r="C19" s="74">
        <f t="shared" si="17"/>
        <v>585.90909090909088</v>
      </c>
      <c r="D19" s="73">
        <v>6380</v>
      </c>
      <c r="E19" s="29">
        <v>6510</v>
      </c>
      <c r="F19" s="27">
        <v>11</v>
      </c>
      <c r="G19" s="56">
        <v>795</v>
      </c>
      <c r="H19" s="56">
        <v>0.19</v>
      </c>
      <c r="I19" s="56"/>
      <c r="L19" s="56">
        <v>50</v>
      </c>
      <c r="M19" s="57">
        <f t="shared" si="9"/>
        <v>0</v>
      </c>
      <c r="O19" s="173">
        <f t="shared" si="18"/>
        <v>2.9545454545454546</v>
      </c>
      <c r="P19" s="75">
        <f t="shared" si="19"/>
        <v>2.0170674941815361E-2</v>
      </c>
      <c r="Q19" s="75">
        <f t="shared" si="11"/>
        <v>1.0085337470907681E-2</v>
      </c>
      <c r="U19" s="112"/>
      <c r="V19" s="23" t="s">
        <v>74</v>
      </c>
      <c r="W19" s="56" t="s">
        <v>75</v>
      </c>
      <c r="X19" s="20">
        <v>2006</v>
      </c>
      <c r="Y19" s="23" t="s">
        <v>54</v>
      </c>
      <c r="Z19" s="19" t="s">
        <v>126</v>
      </c>
      <c r="AA19" s="19">
        <v>1.1200000000000001</v>
      </c>
      <c r="AB19" s="99" t="s">
        <v>86</v>
      </c>
      <c r="AC19" s="108">
        <f>150/0.0000000000001</f>
        <v>1500000000000000</v>
      </c>
      <c r="AD19" s="108">
        <f>500/0.0000000000001</f>
        <v>5000000000000000</v>
      </c>
      <c r="AE19" s="19" t="s">
        <v>89</v>
      </c>
      <c r="AF19" s="57">
        <v>10000</v>
      </c>
      <c r="AG19" s="23">
        <v>100</v>
      </c>
      <c r="AI19" s="39">
        <v>26</v>
      </c>
      <c r="AL19" s="19" t="s">
        <v>115</v>
      </c>
    </row>
    <row r="20" spans="1:41">
      <c r="A20" s="70">
        <v>0.42</v>
      </c>
      <c r="B20" s="70">
        <f t="shared" si="7"/>
        <v>0.74437500000000001</v>
      </c>
      <c r="C20" s="74">
        <f t="shared" si="17"/>
        <v>595.5</v>
      </c>
      <c r="D20" s="81">
        <v>540</v>
      </c>
      <c r="E20" s="26">
        <v>651</v>
      </c>
      <c r="F20" s="27">
        <v>1</v>
      </c>
      <c r="G20" s="56">
        <v>800</v>
      </c>
      <c r="H20" s="56">
        <v>0.13</v>
      </c>
      <c r="I20" s="56"/>
      <c r="K20" s="71">
        <f>0.0001*A20*10000/(H20*0.000000000001)</f>
        <v>3230769230769.2305</v>
      </c>
      <c r="L20" s="56">
        <v>100</v>
      </c>
      <c r="M20" s="57">
        <f t="shared" si="9"/>
        <v>323076923076923.06</v>
      </c>
      <c r="N20" s="72">
        <f>A20*L20</f>
        <v>42</v>
      </c>
      <c r="O20" s="173">
        <f t="shared" si="18"/>
        <v>27.75</v>
      </c>
      <c r="P20" s="75">
        <f t="shared" si="19"/>
        <v>0.18639798488664988</v>
      </c>
      <c r="Q20" s="75">
        <f t="shared" si="11"/>
        <v>9.3198992443324941E-2</v>
      </c>
      <c r="U20" s="159"/>
      <c r="V20" s="23" t="s">
        <v>55</v>
      </c>
      <c r="W20" s="56" t="s">
        <v>57</v>
      </c>
      <c r="X20" s="20">
        <v>2010</v>
      </c>
      <c r="Y20" s="23" t="s">
        <v>54</v>
      </c>
      <c r="Z20" s="19" t="s">
        <v>126</v>
      </c>
      <c r="AA20" s="19">
        <v>1.1200000000000001</v>
      </c>
      <c r="AB20" s="99" t="s">
        <v>87</v>
      </c>
      <c r="AC20" s="108">
        <f>150/0.0000000000001</f>
        <v>1500000000000000</v>
      </c>
      <c r="AD20" s="108">
        <f>500/0.0000000000001</f>
        <v>5000000000000000</v>
      </c>
      <c r="AE20" s="19" t="s">
        <v>89</v>
      </c>
      <c r="AF20" s="57">
        <v>10000</v>
      </c>
      <c r="AG20" s="38">
        <v>10</v>
      </c>
      <c r="AH20" s="77">
        <v>-1000000000000000</v>
      </c>
      <c r="AI20" s="39">
        <v>25</v>
      </c>
      <c r="AJ20" s="56">
        <v>0</v>
      </c>
      <c r="AK20" s="19">
        <v>0</v>
      </c>
      <c r="AL20" s="19" t="s">
        <v>115</v>
      </c>
      <c r="AM20" s="78">
        <v>0</v>
      </c>
      <c r="AN20" s="97"/>
      <c r="AO20" s="97"/>
    </row>
    <row r="21" spans="1:41">
      <c r="A21" s="70">
        <v>1.6</v>
      </c>
      <c r="B21" s="70">
        <f t="shared" si="7"/>
        <v>0.19633620689655171</v>
      </c>
      <c r="C21" s="74">
        <f t="shared" si="17"/>
        <v>157.06896551724137</v>
      </c>
      <c r="D21" s="73">
        <v>4500</v>
      </c>
      <c r="E21" s="29">
        <v>4610</v>
      </c>
      <c r="F21" s="27">
        <v>29</v>
      </c>
      <c r="G21" s="56">
        <v>800</v>
      </c>
      <c r="H21" s="56">
        <v>0.13</v>
      </c>
      <c r="I21" s="56"/>
      <c r="K21" s="71">
        <f>0.0001*A21*10000/(H21*0.000000000001)</f>
        <v>12307692307692.309</v>
      </c>
      <c r="L21" s="56">
        <v>100</v>
      </c>
      <c r="M21" s="57">
        <f t="shared" si="9"/>
        <v>1230769230769230.7</v>
      </c>
      <c r="N21" s="72">
        <f>A21*L21</f>
        <v>160</v>
      </c>
      <c r="P21" s="75">
        <f t="shared" si="19"/>
        <v>2.4149286498353458E-2</v>
      </c>
      <c r="Q21" s="75">
        <f t="shared" si="11"/>
        <v>1.2074643249176729E-2</v>
      </c>
      <c r="V21" s="23" t="s">
        <v>67</v>
      </c>
      <c r="W21" s="56" t="s">
        <v>68</v>
      </c>
      <c r="X21" s="20">
        <v>2004</v>
      </c>
      <c r="Y21" s="23" t="s">
        <v>54</v>
      </c>
      <c r="Z21" s="19" t="s">
        <v>126</v>
      </c>
      <c r="AA21" s="19">
        <v>1.1200000000000001</v>
      </c>
      <c r="AC21" s="108">
        <f>150/0.0000000000001</f>
        <v>1500000000000000</v>
      </c>
      <c r="AD21" s="108">
        <f>500/0.0000000000001</f>
        <v>5000000000000000</v>
      </c>
      <c r="AE21" s="19" t="s">
        <v>69</v>
      </c>
      <c r="AG21" s="38"/>
      <c r="AH21" s="56"/>
      <c r="AJ21" s="56">
        <v>0</v>
      </c>
      <c r="AK21" s="56">
        <v>90</v>
      </c>
      <c r="AL21" s="19" t="s">
        <v>115</v>
      </c>
      <c r="AM21" s="20">
        <v>90</v>
      </c>
    </row>
    <row r="22" spans="1:41">
      <c r="A22" s="70">
        <v>1.5</v>
      </c>
      <c r="B22" s="70">
        <f t="shared" si="7"/>
        <v>0.17041666666666669</v>
      </c>
      <c r="C22" s="74">
        <f t="shared" si="17"/>
        <v>136.33333333333334</v>
      </c>
      <c r="D22" s="73">
        <v>4050</v>
      </c>
      <c r="E22" s="29">
        <v>4130</v>
      </c>
      <c r="F22" s="27">
        <v>30</v>
      </c>
      <c r="G22" s="56">
        <v>800</v>
      </c>
      <c r="H22" s="56">
        <v>0.13</v>
      </c>
      <c r="I22" s="56"/>
      <c r="K22" s="71">
        <f>0.0001*A22*10000/(H22*0.000000000001)</f>
        <v>11538461538461.541</v>
      </c>
      <c r="L22" s="56">
        <v>1000</v>
      </c>
      <c r="M22" s="57">
        <f t="shared" si="9"/>
        <v>1.1538461538461542E+16</v>
      </c>
      <c r="N22" s="72">
        <f>A22*L22</f>
        <v>1500</v>
      </c>
      <c r="P22" s="75">
        <f t="shared" si="19"/>
        <v>1.9559902200488994E-2</v>
      </c>
      <c r="Q22" s="75">
        <f t="shared" si="11"/>
        <v>9.779951100244497E-3</v>
      </c>
      <c r="V22" s="23" t="s">
        <v>67</v>
      </c>
      <c r="W22" s="56" t="s">
        <v>68</v>
      </c>
      <c r="X22" s="20">
        <v>2004</v>
      </c>
      <c r="Y22" s="23" t="s">
        <v>54</v>
      </c>
      <c r="Z22" s="19" t="s">
        <v>126</v>
      </c>
      <c r="AA22" s="19">
        <v>1.1200000000000001</v>
      </c>
      <c r="AC22" s="110"/>
      <c r="AD22" s="110"/>
      <c r="AE22" s="19" t="s">
        <v>69</v>
      </c>
      <c r="AG22" s="38"/>
      <c r="AH22" s="56"/>
      <c r="AJ22" s="56">
        <v>0</v>
      </c>
      <c r="AK22" s="56">
        <v>90</v>
      </c>
      <c r="AL22" s="19" t="s">
        <v>115</v>
      </c>
      <c r="AM22" s="20">
        <v>90</v>
      </c>
    </row>
    <row r="23" spans="1:41">
      <c r="A23" s="70">
        <v>0.2</v>
      </c>
      <c r="B23" s="70">
        <f t="shared" si="7"/>
        <v>0.73846153846153839</v>
      </c>
      <c r="C23" s="74">
        <f t="shared" si="17"/>
        <v>590.76923076923072</v>
      </c>
      <c r="D23" s="73">
        <v>7420</v>
      </c>
      <c r="E23" s="29">
        <v>7940</v>
      </c>
      <c r="F23" s="27">
        <v>13</v>
      </c>
      <c r="G23" s="56">
        <v>800</v>
      </c>
      <c r="H23" s="56">
        <v>0.13</v>
      </c>
      <c r="I23" s="56"/>
      <c r="K23" s="71">
        <f>0.0001*A23*10000/(H23*0.000000000001)</f>
        <v>1538461538461.5386</v>
      </c>
      <c r="L23" s="56">
        <v>100</v>
      </c>
      <c r="M23" s="57">
        <f t="shared" si="9"/>
        <v>153846153846153.84</v>
      </c>
      <c r="N23" s="72">
        <f>A23*L23</f>
        <v>20</v>
      </c>
      <c r="O23" s="173">
        <f t="shared" ref="O23:O25" si="20">(E23-D23)/4/F23</f>
        <v>10</v>
      </c>
      <c r="P23" s="75">
        <f t="shared" si="19"/>
        <v>6.7708333333333343E-2</v>
      </c>
      <c r="Q23" s="75">
        <f t="shared" si="11"/>
        <v>3.3854166666666671E-2</v>
      </c>
      <c r="R23" s="172"/>
      <c r="S23" s="172"/>
      <c r="T23" s="172"/>
      <c r="U23" s="97"/>
      <c r="V23" s="23" t="s">
        <v>67</v>
      </c>
      <c r="W23" s="56" t="s">
        <v>68</v>
      </c>
      <c r="X23" s="20">
        <v>2004</v>
      </c>
      <c r="Y23" s="23" t="s">
        <v>54</v>
      </c>
      <c r="Z23" s="19" t="s">
        <v>126</v>
      </c>
      <c r="AA23" s="19">
        <v>1.1200000000000001</v>
      </c>
      <c r="AB23" s="19">
        <v>111</v>
      </c>
      <c r="AC23" s="108">
        <f>150/0.0000000000001</f>
        <v>1500000000000000</v>
      </c>
      <c r="AD23" s="108">
        <f>500/0.0000000000001</f>
        <v>5000000000000000</v>
      </c>
      <c r="AE23" s="19" t="s">
        <v>89</v>
      </c>
      <c r="AF23" s="57">
        <v>10000</v>
      </c>
      <c r="AG23" s="38"/>
      <c r="AH23" s="56"/>
      <c r="AI23" s="39">
        <v>19</v>
      </c>
      <c r="AJ23" s="56">
        <v>0</v>
      </c>
      <c r="AK23" s="56">
        <v>90</v>
      </c>
      <c r="AL23" s="19" t="s">
        <v>115</v>
      </c>
      <c r="AM23" s="20">
        <v>0</v>
      </c>
    </row>
    <row r="24" spans="1:41">
      <c r="A24" s="70">
        <v>6.5</v>
      </c>
      <c r="B24" s="70">
        <f t="shared" si="7"/>
        <v>0.88050314465408808</v>
      </c>
      <c r="C24" s="74">
        <f t="shared" si="17"/>
        <v>700</v>
      </c>
      <c r="D24" s="73">
        <v>6130</v>
      </c>
      <c r="E24" s="29">
        <v>6470</v>
      </c>
      <c r="F24" s="27">
        <v>9</v>
      </c>
      <c r="G24" s="56">
        <v>795</v>
      </c>
      <c r="H24" s="56">
        <v>0.19</v>
      </c>
      <c r="I24" s="56"/>
      <c r="L24" s="56">
        <v>100</v>
      </c>
      <c r="M24" s="57">
        <f t="shared" si="9"/>
        <v>0</v>
      </c>
      <c r="O24" s="173">
        <f t="shared" si="20"/>
        <v>9.4444444444444446</v>
      </c>
      <c r="P24" s="75">
        <f t="shared" si="19"/>
        <v>5.3968253968253971E-2</v>
      </c>
      <c r="Q24" s="75">
        <f t="shared" si="11"/>
        <v>2.6984126984126985E-2</v>
      </c>
      <c r="V24" s="23" t="s">
        <v>74</v>
      </c>
      <c r="W24" s="56" t="s">
        <v>75</v>
      </c>
      <c r="X24" s="20">
        <v>2006</v>
      </c>
      <c r="Y24" s="23" t="s">
        <v>54</v>
      </c>
      <c r="Z24" s="19" t="s">
        <v>126</v>
      </c>
      <c r="AA24" s="19">
        <v>1.1200000000000001</v>
      </c>
      <c r="AB24" s="99" t="s">
        <v>86</v>
      </c>
      <c r="AC24" s="108">
        <f>150/0.0000000000001</f>
        <v>1500000000000000</v>
      </c>
      <c r="AD24" s="108">
        <f>500/0.0000000000001</f>
        <v>5000000000000000</v>
      </c>
      <c r="AE24" s="19" t="s">
        <v>89</v>
      </c>
      <c r="AF24" s="57">
        <v>10000</v>
      </c>
      <c r="AG24" s="23">
        <v>100</v>
      </c>
      <c r="AI24" s="39">
        <v>26</v>
      </c>
      <c r="AL24" s="19" t="s">
        <v>115</v>
      </c>
      <c r="AN24" s="159"/>
      <c r="AO24" s="159"/>
    </row>
    <row r="25" spans="1:41">
      <c r="A25" s="70">
        <v>0.2</v>
      </c>
      <c r="B25" s="70">
        <f t="shared" si="7"/>
        <v>0.6380341880341881</v>
      </c>
      <c r="C25" s="74">
        <f t="shared" si="17"/>
        <v>829.44444444444446</v>
      </c>
      <c r="D25" s="73">
        <v>14750</v>
      </c>
      <c r="E25" s="29">
        <v>15110</v>
      </c>
      <c r="F25" s="27">
        <v>18</v>
      </c>
      <c r="G25" s="56">
        <v>1300</v>
      </c>
      <c r="H25" s="56">
        <v>0.09</v>
      </c>
      <c r="I25" s="21">
        <v>3.1999999999999999E-6</v>
      </c>
      <c r="K25" s="71">
        <f>0.0001*A25*10000/(H25*0.000000000001)</f>
        <v>2222222222222.2227</v>
      </c>
      <c r="L25" s="56">
        <v>200</v>
      </c>
      <c r="M25" s="57">
        <f t="shared" si="9"/>
        <v>444444444444444.5</v>
      </c>
      <c r="N25" s="72">
        <f>A25*L25</f>
        <v>40</v>
      </c>
      <c r="O25" s="173">
        <f t="shared" si="20"/>
        <v>5</v>
      </c>
      <c r="P25" s="75">
        <f t="shared" si="19"/>
        <v>2.4112525117213665E-2</v>
      </c>
      <c r="Q25" s="75">
        <f t="shared" si="11"/>
        <v>1.2056262558606833E-2</v>
      </c>
      <c r="V25" s="23" t="s">
        <v>81</v>
      </c>
      <c r="W25" s="56" t="s">
        <v>82</v>
      </c>
      <c r="X25" s="20">
        <v>2007</v>
      </c>
      <c r="Y25" s="23" t="s">
        <v>54</v>
      </c>
      <c r="Z25" s="19" t="s">
        <v>126</v>
      </c>
      <c r="AA25" s="19">
        <v>1.1200000000000001</v>
      </c>
      <c r="AC25" s="108">
        <f>150/0.0000000000001</f>
        <v>1500000000000000</v>
      </c>
      <c r="AD25" s="108">
        <f>500/0.0000000000001</f>
        <v>5000000000000000</v>
      </c>
      <c r="AE25" s="56" t="s">
        <v>72</v>
      </c>
      <c r="AF25" s="57">
        <f>0.1*0.001*10000</f>
        <v>1</v>
      </c>
      <c r="AG25" s="23">
        <v>1000</v>
      </c>
      <c r="AI25" s="39">
        <v>25</v>
      </c>
      <c r="AL25" s="19" t="s">
        <v>115</v>
      </c>
      <c r="AM25" s="20">
        <v>90</v>
      </c>
    </row>
    <row r="26" spans="1:41" ht="15" hidden="1" customHeight="1">
      <c r="A26" s="70">
        <v>8.1999999999999993</v>
      </c>
      <c r="B26" s="70">
        <f t="shared" si="7"/>
        <v>3.1149193548387095</v>
      </c>
      <c r="C26" s="74">
        <f t="shared" si="17"/>
        <v>772.5</v>
      </c>
      <c r="D26" s="81">
        <v>765</v>
      </c>
      <c r="E26" s="26">
        <v>780</v>
      </c>
      <c r="F26" s="27">
        <v>1</v>
      </c>
      <c r="G26" s="19">
        <v>248</v>
      </c>
      <c r="H26" s="19">
        <v>0.5</v>
      </c>
      <c r="K26" s="71">
        <f>0.0001*A26*10000/(H26*0.000000000001)</f>
        <v>16399999999999.998</v>
      </c>
      <c r="L26" s="19">
        <v>70</v>
      </c>
      <c r="M26" s="19">
        <f t="shared" si="9"/>
        <v>1147999999999999.7</v>
      </c>
      <c r="N26" s="72">
        <f>A26*L26</f>
        <v>574</v>
      </c>
      <c r="P26" s="75">
        <f t="shared" si="19"/>
        <v>1.9417475728155338E-2</v>
      </c>
      <c r="Q26" s="75">
        <f t="shared" si="11"/>
        <v>9.7087378640776691E-3</v>
      </c>
      <c r="R26" s="167"/>
      <c r="S26" s="167"/>
      <c r="T26" s="167"/>
      <c r="V26" s="23" t="s">
        <v>129</v>
      </c>
      <c r="W26" s="19" t="s">
        <v>130</v>
      </c>
      <c r="X26" s="20">
        <v>1992</v>
      </c>
      <c r="Y26" s="23" t="s">
        <v>128</v>
      </c>
      <c r="Z26" s="19" t="s">
        <v>131</v>
      </c>
      <c r="AB26" s="19" t="s">
        <v>26</v>
      </c>
      <c r="AF26" s="21"/>
      <c r="AO26" s="112"/>
    </row>
    <row r="27" spans="1:41">
      <c r="A27" s="70">
        <v>1</v>
      </c>
      <c r="B27" s="70">
        <f t="shared" si="7"/>
        <v>0.24610000000000001</v>
      </c>
      <c r="C27" s="74">
        <f t="shared" si="17"/>
        <v>307.625</v>
      </c>
      <c r="D27" s="81">
        <v>4789</v>
      </c>
      <c r="E27" s="26">
        <v>5055</v>
      </c>
      <c r="F27" s="27">
        <v>16</v>
      </c>
      <c r="G27" s="19">
        <v>1250</v>
      </c>
      <c r="H27" s="19">
        <v>0.08</v>
      </c>
      <c r="K27" s="71">
        <f>0.0001*A27*10000/(H27*0.000000000001)</f>
        <v>12500000000000</v>
      </c>
      <c r="L27" s="19">
        <v>300</v>
      </c>
      <c r="M27" s="19">
        <f t="shared" si="9"/>
        <v>3750000000000000</v>
      </c>
      <c r="N27" s="72">
        <f>A27*L27</f>
        <v>300</v>
      </c>
      <c r="O27" s="173">
        <f t="shared" ref="O27:O34" si="21">(E27-D27)/4/F27</f>
        <v>4.15625</v>
      </c>
      <c r="P27" s="75">
        <f t="shared" si="19"/>
        <v>5.4043071921982933E-2</v>
      </c>
      <c r="Q27" s="75">
        <f t="shared" si="11"/>
        <v>2.7021535960991466E-2</v>
      </c>
      <c r="V27" s="23" t="s">
        <v>122</v>
      </c>
      <c r="W27" s="19" t="s">
        <v>123</v>
      </c>
      <c r="X27" s="20">
        <v>2008</v>
      </c>
      <c r="Y27" s="23" t="s">
        <v>54</v>
      </c>
      <c r="Z27" s="19" t="s">
        <v>126</v>
      </c>
      <c r="AA27" s="19">
        <v>1.1200000000000001</v>
      </c>
      <c r="AB27" s="19">
        <v>100</v>
      </c>
      <c r="AE27" s="19" t="s">
        <v>89</v>
      </c>
      <c r="AF27" s="21">
        <v>10000</v>
      </c>
      <c r="AG27" s="23">
        <v>10</v>
      </c>
      <c r="AJ27" s="19">
        <v>0</v>
      </c>
      <c r="AK27" s="19">
        <v>0</v>
      </c>
      <c r="AL27" s="19" t="s">
        <v>115</v>
      </c>
      <c r="AM27" s="20">
        <v>0</v>
      </c>
      <c r="AN27" s="69" t="s">
        <v>111</v>
      </c>
      <c r="AO27" s="159"/>
    </row>
    <row r="28" spans="1:41">
      <c r="A28" s="70">
        <v>0.42</v>
      </c>
      <c r="B28" s="70">
        <f t="shared" si="7"/>
        <v>0.71944999999999992</v>
      </c>
      <c r="C28" s="74">
        <f t="shared" si="17"/>
        <v>575.55999999999995</v>
      </c>
      <c r="D28" s="81">
        <v>520.79999999999995</v>
      </c>
      <c r="E28" s="26">
        <v>630.32000000000005</v>
      </c>
      <c r="F28" s="27">
        <v>1</v>
      </c>
      <c r="G28" s="56">
        <v>800</v>
      </c>
      <c r="H28" s="56">
        <v>0.13</v>
      </c>
      <c r="I28" s="56"/>
      <c r="K28" s="71">
        <f>0.0001*A28*10000/(H28*0.000000000001)</f>
        <v>3230769230769.2305</v>
      </c>
      <c r="L28" s="56">
        <v>500</v>
      </c>
      <c r="M28" s="57">
        <f t="shared" si="9"/>
        <v>1615384615384615.2</v>
      </c>
      <c r="N28" s="72">
        <f>A28*L28</f>
        <v>210</v>
      </c>
      <c r="O28" s="173">
        <f t="shared" si="21"/>
        <v>27.380000000000024</v>
      </c>
      <c r="P28" s="75">
        <f t="shared" si="19"/>
        <v>0.1902842449093059</v>
      </c>
      <c r="Q28" s="75">
        <f t="shared" si="11"/>
        <v>9.514212245465295E-2</v>
      </c>
      <c r="V28" s="23" t="s">
        <v>55</v>
      </c>
      <c r="W28" s="56" t="s">
        <v>57</v>
      </c>
      <c r="X28" s="20">
        <v>2010</v>
      </c>
      <c r="Y28" s="23" t="s">
        <v>54</v>
      </c>
      <c r="Z28" s="19" t="s">
        <v>126</v>
      </c>
      <c r="AA28" s="19">
        <v>1.1200000000000001</v>
      </c>
      <c r="AB28" s="99" t="s">
        <v>87</v>
      </c>
      <c r="AC28" s="108">
        <f t="shared" ref="AC28:AC34" si="22">150/0.0000000000001</f>
        <v>1500000000000000</v>
      </c>
      <c r="AD28" s="108">
        <f t="shared" ref="AD28:AD34" si="23">500/0.0000000000001</f>
        <v>5000000000000000</v>
      </c>
      <c r="AE28" s="19" t="s">
        <v>89</v>
      </c>
      <c r="AF28" s="57">
        <v>10000</v>
      </c>
      <c r="AG28" s="38">
        <v>10</v>
      </c>
      <c r="AH28" s="77">
        <v>-1000000000000000</v>
      </c>
      <c r="AI28" s="39">
        <v>25</v>
      </c>
      <c r="AJ28" s="56">
        <v>0</v>
      </c>
      <c r="AK28" s="19">
        <v>0</v>
      </c>
      <c r="AL28" s="19" t="s">
        <v>115</v>
      </c>
      <c r="AM28" s="78">
        <v>0</v>
      </c>
    </row>
    <row r="29" spans="1:41">
      <c r="B29" s="70">
        <f t="shared" si="7"/>
        <v>0.7193732193732193</v>
      </c>
      <c r="C29" s="74">
        <f t="shared" si="17"/>
        <v>561.11111111111109</v>
      </c>
      <c r="D29" s="73">
        <v>9940</v>
      </c>
      <c r="E29" s="29">
        <v>10260</v>
      </c>
      <c r="F29" s="27">
        <v>18</v>
      </c>
      <c r="G29" s="56">
        <v>780</v>
      </c>
      <c r="H29" s="56">
        <v>0.1</v>
      </c>
      <c r="I29" s="70">
        <v>9.9999999999999995E-7</v>
      </c>
      <c r="K29" s="71">
        <f>0.0001*I29*10000/(H29*0.000000000001)</f>
        <v>10000000</v>
      </c>
      <c r="L29" s="56">
        <v>500</v>
      </c>
      <c r="M29" s="57">
        <f t="shared" si="9"/>
        <v>5000000000</v>
      </c>
      <c r="N29" s="72">
        <f>I29*L29</f>
        <v>5.0000000000000001E-4</v>
      </c>
      <c r="O29" s="173">
        <f t="shared" si="21"/>
        <v>4.4444444444444446</v>
      </c>
      <c r="P29" s="75">
        <f t="shared" si="19"/>
        <v>3.1683168316831684E-2</v>
      </c>
      <c r="Q29" s="75">
        <f t="shared" si="11"/>
        <v>1.5841584158415842E-2</v>
      </c>
      <c r="V29" s="23" t="s">
        <v>63</v>
      </c>
      <c r="W29" s="56" t="s">
        <v>64</v>
      </c>
      <c r="X29" s="20">
        <v>2005</v>
      </c>
      <c r="Y29" s="23" t="s">
        <v>54</v>
      </c>
      <c r="Z29" s="19" t="s">
        <v>126</v>
      </c>
      <c r="AA29" s="19">
        <v>1.1200000000000001</v>
      </c>
      <c r="AC29" s="108">
        <f t="shared" si="22"/>
        <v>1500000000000000</v>
      </c>
      <c r="AD29" s="108">
        <f t="shared" si="23"/>
        <v>5000000000000000</v>
      </c>
      <c r="AE29" s="76" t="s">
        <v>89</v>
      </c>
      <c r="AF29" s="77">
        <v>10000</v>
      </c>
      <c r="AG29" s="38"/>
      <c r="AH29" s="56"/>
      <c r="AI29" s="39">
        <v>45</v>
      </c>
      <c r="AJ29" s="56">
        <v>0</v>
      </c>
      <c r="AK29" s="19">
        <v>0</v>
      </c>
      <c r="AL29" s="19" t="s">
        <v>115</v>
      </c>
      <c r="AM29" s="78">
        <v>0</v>
      </c>
    </row>
    <row r="30" spans="1:41">
      <c r="A30" s="70">
        <v>0.42</v>
      </c>
      <c r="B30" s="70">
        <f t="shared" si="7"/>
        <v>0.70074999999999998</v>
      </c>
      <c r="C30" s="74">
        <f t="shared" si="17"/>
        <v>560.6</v>
      </c>
      <c r="D30" s="81">
        <v>511.7</v>
      </c>
      <c r="E30" s="26">
        <v>609.5</v>
      </c>
      <c r="F30" s="27">
        <v>1</v>
      </c>
      <c r="G30" s="56">
        <v>800</v>
      </c>
      <c r="H30" s="56">
        <v>0.13</v>
      </c>
      <c r="I30" s="56"/>
      <c r="K30" s="71">
        <f>0.0001*A30*10000/(H30*0.000000000001)</f>
        <v>3230769230769.2305</v>
      </c>
      <c r="L30" s="56">
        <v>1000</v>
      </c>
      <c r="M30" s="57">
        <f t="shared" si="9"/>
        <v>3230769230769230.5</v>
      </c>
      <c r="N30" s="72">
        <f>A30*L30</f>
        <v>420</v>
      </c>
      <c r="O30" s="173">
        <f t="shared" si="21"/>
        <v>24.450000000000003</v>
      </c>
      <c r="P30" s="75">
        <f t="shared" si="19"/>
        <v>0.17445594006421691</v>
      </c>
      <c r="Q30" s="75">
        <f t="shared" si="11"/>
        <v>8.7227970032108457E-2</v>
      </c>
      <c r="V30" s="23" t="s">
        <v>55</v>
      </c>
      <c r="W30" s="56" t="s">
        <v>57</v>
      </c>
      <c r="X30" s="20">
        <v>2010</v>
      </c>
      <c r="Y30" s="23" t="s">
        <v>54</v>
      </c>
      <c r="Z30" s="19" t="s">
        <v>126</v>
      </c>
      <c r="AA30" s="19">
        <v>1.1200000000000001</v>
      </c>
      <c r="AB30" s="99" t="s">
        <v>87</v>
      </c>
      <c r="AC30" s="108">
        <f t="shared" si="22"/>
        <v>1500000000000000</v>
      </c>
      <c r="AD30" s="108">
        <f t="shared" si="23"/>
        <v>5000000000000000</v>
      </c>
      <c r="AE30" s="19" t="s">
        <v>89</v>
      </c>
      <c r="AF30" s="57">
        <v>10000</v>
      </c>
      <c r="AG30" s="38">
        <v>10</v>
      </c>
      <c r="AH30" s="77">
        <v>-1000000000000000</v>
      </c>
      <c r="AI30" s="39">
        <v>25</v>
      </c>
      <c r="AJ30" s="56">
        <v>0</v>
      </c>
      <c r="AK30" s="19">
        <v>0</v>
      </c>
      <c r="AL30" s="19" t="s">
        <v>115</v>
      </c>
      <c r="AM30" s="78">
        <v>0</v>
      </c>
    </row>
    <row r="31" spans="1:41">
      <c r="A31" s="70">
        <v>0.45</v>
      </c>
      <c r="B31" s="70">
        <f t="shared" si="7"/>
        <v>0.76687499999999997</v>
      </c>
      <c r="C31" s="74">
        <f t="shared" si="17"/>
        <v>613.5</v>
      </c>
      <c r="D31" s="73">
        <v>6000</v>
      </c>
      <c r="E31" s="29">
        <v>6270</v>
      </c>
      <c r="F31" s="27">
        <v>10</v>
      </c>
      <c r="G31" s="56">
        <v>800</v>
      </c>
      <c r="H31" s="56">
        <v>0.13</v>
      </c>
      <c r="I31" s="56"/>
      <c r="K31" s="71">
        <f>0.0001*A31*10000/(H31*0.000000000001)</f>
        <v>3461538461538.4614</v>
      </c>
      <c r="L31" s="56">
        <v>1000</v>
      </c>
      <c r="M31" s="57">
        <f t="shared" si="9"/>
        <v>3461538461538461.5</v>
      </c>
      <c r="N31" s="72">
        <f>A31*L31</f>
        <v>450</v>
      </c>
      <c r="O31" s="173">
        <f t="shared" si="21"/>
        <v>6.75</v>
      </c>
      <c r="P31" s="75">
        <f t="shared" si="19"/>
        <v>4.4009779951100246E-2</v>
      </c>
      <c r="Q31" s="75">
        <f t="shared" si="11"/>
        <v>2.2004889975550123E-2</v>
      </c>
      <c r="V31" s="23" t="s">
        <v>67</v>
      </c>
      <c r="W31" s="56" t="s">
        <v>68</v>
      </c>
      <c r="X31" s="20">
        <v>2004</v>
      </c>
      <c r="Y31" s="23" t="s">
        <v>54</v>
      </c>
      <c r="Z31" s="19" t="s">
        <v>126</v>
      </c>
      <c r="AA31" s="19">
        <v>1.1200000000000001</v>
      </c>
      <c r="AB31" s="19">
        <v>111</v>
      </c>
      <c r="AC31" s="108">
        <f t="shared" si="22"/>
        <v>1500000000000000</v>
      </c>
      <c r="AD31" s="108">
        <f t="shared" si="23"/>
        <v>5000000000000000</v>
      </c>
      <c r="AE31" s="19" t="s">
        <v>89</v>
      </c>
      <c r="AF31" s="57">
        <v>10000</v>
      </c>
      <c r="AG31" s="38"/>
      <c r="AH31" s="56"/>
      <c r="AJ31" s="56">
        <v>0</v>
      </c>
      <c r="AK31" s="56">
        <v>90</v>
      </c>
      <c r="AL31" s="19" t="s">
        <v>115</v>
      </c>
      <c r="AM31" s="20">
        <v>0</v>
      </c>
    </row>
    <row r="32" spans="1:41" s="112" customFormat="1">
      <c r="A32" s="70">
        <f>K32*0.000000000001*H32</f>
        <v>0.4</v>
      </c>
      <c r="B32" s="70">
        <f t="shared" si="7"/>
        <v>0.25624999999999998</v>
      </c>
      <c r="C32" s="74">
        <f t="shared" si="17"/>
        <v>205</v>
      </c>
      <c r="D32" s="73">
        <v>190</v>
      </c>
      <c r="E32" s="29">
        <v>220</v>
      </c>
      <c r="F32" s="27">
        <v>1</v>
      </c>
      <c r="G32" s="56">
        <v>800</v>
      </c>
      <c r="H32" s="56">
        <v>0.1</v>
      </c>
      <c r="I32" s="56"/>
      <c r="J32"/>
      <c r="K32" s="71">
        <v>4000000000000</v>
      </c>
      <c r="L32" s="56">
        <v>1000</v>
      </c>
      <c r="M32" s="57">
        <f t="shared" si="9"/>
        <v>4000000000000000</v>
      </c>
      <c r="N32" s="72"/>
      <c r="O32" s="173">
        <f t="shared" si="21"/>
        <v>7.5</v>
      </c>
      <c r="P32" s="75">
        <f t="shared" si="19"/>
        <v>0.14634146341463414</v>
      </c>
      <c r="Q32" s="75">
        <f t="shared" si="11"/>
        <v>7.3170731707317069E-2</v>
      </c>
      <c r="V32" s="23" t="s">
        <v>70</v>
      </c>
      <c r="W32" s="56" t="s">
        <v>71</v>
      </c>
      <c r="X32" s="20">
        <v>2006</v>
      </c>
      <c r="Y32" s="23" t="s">
        <v>54</v>
      </c>
      <c r="Z32" s="19" t="s">
        <v>126</v>
      </c>
      <c r="AA32" s="19">
        <v>1.1200000000000001</v>
      </c>
      <c r="AB32" s="99" t="s">
        <v>85</v>
      </c>
      <c r="AC32" s="108">
        <f t="shared" si="22"/>
        <v>1500000000000000</v>
      </c>
      <c r="AD32" s="108">
        <f t="shared" si="23"/>
        <v>5000000000000000</v>
      </c>
      <c r="AE32" s="56" t="s">
        <v>72</v>
      </c>
      <c r="AF32" s="56"/>
      <c r="AG32" s="38"/>
      <c r="AH32" s="21">
        <v>1E+21</v>
      </c>
      <c r="AI32" s="39">
        <v>100</v>
      </c>
      <c r="AJ32" s="19"/>
      <c r="AK32" s="19"/>
      <c r="AL32" s="19" t="s">
        <v>115</v>
      </c>
      <c r="AM32" s="20"/>
    </row>
    <row r="33" spans="1:41">
      <c r="A33" s="70">
        <v>4.5300000000000001E-4</v>
      </c>
      <c r="B33" s="70">
        <f t="shared" si="7"/>
        <v>0.8774193548387097</v>
      </c>
      <c r="C33" s="74">
        <f t="shared" si="17"/>
        <v>680</v>
      </c>
      <c r="D33" s="81">
        <v>660</v>
      </c>
      <c r="E33" s="26">
        <v>700</v>
      </c>
      <c r="F33" s="27">
        <v>1</v>
      </c>
      <c r="G33" s="56">
        <v>775</v>
      </c>
      <c r="H33" s="56">
        <v>0.15</v>
      </c>
      <c r="I33" s="57">
        <v>8.0000000000000002E-8</v>
      </c>
      <c r="K33" s="71">
        <f t="shared" ref="K33:K43" si="24">0.0001*A33*10000/(H33*0.000000000001)</f>
        <v>3020000000</v>
      </c>
      <c r="L33" s="56">
        <v>1000</v>
      </c>
      <c r="M33" s="57">
        <f t="shared" si="9"/>
        <v>3020000000000</v>
      </c>
      <c r="N33" s="72">
        <f t="shared" ref="N33:N45" si="25">A33*L33</f>
        <v>0.45300000000000001</v>
      </c>
      <c r="O33" s="173">
        <f t="shared" si="21"/>
        <v>10</v>
      </c>
      <c r="P33" s="75">
        <f t="shared" si="19"/>
        <v>5.8823529411764705E-2</v>
      </c>
      <c r="Q33" s="75">
        <f t="shared" si="11"/>
        <v>2.9411764705882353E-2</v>
      </c>
      <c r="U33" s="172"/>
      <c r="V33" s="23" t="s">
        <v>59</v>
      </c>
      <c r="W33" s="56" t="s">
        <v>60</v>
      </c>
      <c r="X33" s="20">
        <v>2006</v>
      </c>
      <c r="Y33" s="23" t="s">
        <v>54</v>
      </c>
      <c r="Z33" s="19" t="s">
        <v>126</v>
      </c>
      <c r="AA33" s="19">
        <v>1.1200000000000001</v>
      </c>
      <c r="AB33" s="99" t="s">
        <v>87</v>
      </c>
      <c r="AC33" s="108">
        <f t="shared" si="22"/>
        <v>1500000000000000</v>
      </c>
      <c r="AD33" s="108">
        <f t="shared" si="23"/>
        <v>5000000000000000</v>
      </c>
      <c r="AE33" s="76" t="s">
        <v>89</v>
      </c>
      <c r="AF33" s="100">
        <v>10000</v>
      </c>
      <c r="AG33" s="38"/>
      <c r="AH33" s="56"/>
      <c r="AI33" s="39">
        <v>150</v>
      </c>
      <c r="AJ33" s="56">
        <v>0</v>
      </c>
      <c r="AK33" s="19">
        <v>0</v>
      </c>
      <c r="AL33" s="19" t="s">
        <v>115</v>
      </c>
      <c r="AM33" s="78">
        <v>0</v>
      </c>
    </row>
    <row r="34" spans="1:41">
      <c r="A34" s="70">
        <v>4.5300000000000001E-4</v>
      </c>
      <c r="B34" s="70">
        <f t="shared" si="7"/>
        <v>0.88387096774193552</v>
      </c>
      <c r="C34" s="74">
        <f t="shared" si="17"/>
        <v>685</v>
      </c>
      <c r="D34" s="73">
        <v>650</v>
      </c>
      <c r="E34" s="29">
        <v>720</v>
      </c>
      <c r="F34" s="27">
        <v>1</v>
      </c>
      <c r="G34" s="56">
        <v>775</v>
      </c>
      <c r="H34" s="56">
        <v>0.15</v>
      </c>
      <c r="I34" s="57">
        <v>9.9999999999999995E-8</v>
      </c>
      <c r="K34" s="71">
        <f t="shared" si="24"/>
        <v>3020000000</v>
      </c>
      <c r="L34" s="56">
        <v>1000</v>
      </c>
      <c r="M34" s="57">
        <f t="shared" si="9"/>
        <v>3020000000000</v>
      </c>
      <c r="N34" s="72">
        <f t="shared" si="25"/>
        <v>0.45300000000000001</v>
      </c>
      <c r="O34" s="173">
        <f t="shared" si="21"/>
        <v>17.5</v>
      </c>
      <c r="P34" s="75">
        <f t="shared" si="19"/>
        <v>0.10218978102189781</v>
      </c>
      <c r="Q34" s="75">
        <f t="shared" si="11"/>
        <v>5.1094890510948905E-2</v>
      </c>
      <c r="V34" s="23" t="s">
        <v>59</v>
      </c>
      <c r="W34" s="56" t="s">
        <v>60</v>
      </c>
      <c r="X34" s="20">
        <v>2006</v>
      </c>
      <c r="Y34" s="23" t="s">
        <v>54</v>
      </c>
      <c r="Z34" s="19" t="s">
        <v>126</v>
      </c>
      <c r="AA34" s="19">
        <v>1.1200000000000001</v>
      </c>
      <c r="AB34" s="99" t="s">
        <v>87</v>
      </c>
      <c r="AC34" s="108">
        <f t="shared" si="22"/>
        <v>1500000000000000</v>
      </c>
      <c r="AD34" s="108">
        <f t="shared" si="23"/>
        <v>5000000000000000</v>
      </c>
      <c r="AE34" s="76" t="s">
        <v>89</v>
      </c>
      <c r="AF34" s="100">
        <v>10000</v>
      </c>
      <c r="AG34" s="38"/>
      <c r="AH34" s="56"/>
      <c r="AI34" s="39">
        <v>150</v>
      </c>
      <c r="AJ34" s="56">
        <v>0</v>
      </c>
      <c r="AK34" s="19">
        <v>0</v>
      </c>
      <c r="AL34" s="19" t="s">
        <v>115</v>
      </c>
      <c r="AM34" s="78">
        <v>0</v>
      </c>
      <c r="AN34" s="172"/>
      <c r="AO34" s="172"/>
    </row>
    <row r="35" spans="1:41" ht="15" hidden="1" customHeight="1">
      <c r="A35" s="70">
        <v>0.1</v>
      </c>
      <c r="B35" s="70">
        <f t="shared" si="7"/>
        <v>0.17</v>
      </c>
      <c r="C35" s="74">
        <f t="shared" si="17"/>
        <v>136</v>
      </c>
      <c r="D35" s="73">
        <v>758</v>
      </c>
      <c r="E35" s="29">
        <v>874</v>
      </c>
      <c r="F35" s="27">
        <v>6</v>
      </c>
      <c r="G35" s="19">
        <v>800</v>
      </c>
      <c r="H35" s="19">
        <v>0.1</v>
      </c>
      <c r="K35" s="71">
        <f t="shared" si="24"/>
        <v>1000000000000</v>
      </c>
      <c r="L35" s="19">
        <v>500</v>
      </c>
      <c r="M35" s="19">
        <f t="shared" si="9"/>
        <v>500000000000000</v>
      </c>
      <c r="N35" s="72">
        <f t="shared" si="25"/>
        <v>50</v>
      </c>
      <c r="P35" s="75">
        <f t="shared" si="19"/>
        <v>0.14215686274509803</v>
      </c>
      <c r="Q35" s="75">
        <f t="shared" si="11"/>
        <v>7.1078431372549017E-2</v>
      </c>
      <c r="V35" s="23" t="s">
        <v>109</v>
      </c>
      <c r="W35" s="19" t="s">
        <v>112</v>
      </c>
      <c r="X35" s="20">
        <v>2008</v>
      </c>
      <c r="Y35" s="23" t="s">
        <v>108</v>
      </c>
      <c r="Z35" s="19" t="s">
        <v>127</v>
      </c>
      <c r="AC35" s="110"/>
      <c r="AD35" s="110"/>
      <c r="AE35" s="19" t="s">
        <v>89</v>
      </c>
      <c r="AG35" s="23">
        <v>10</v>
      </c>
      <c r="AI35" s="39">
        <v>190</v>
      </c>
      <c r="AJ35" s="19">
        <v>0</v>
      </c>
      <c r="AK35" s="19">
        <v>0</v>
      </c>
      <c r="AL35" s="19" t="s">
        <v>115</v>
      </c>
      <c r="AM35" s="20">
        <v>0</v>
      </c>
      <c r="AN35" s="69" t="s">
        <v>111</v>
      </c>
      <c r="AO35" s="106">
        <v>1</v>
      </c>
    </row>
    <row r="36" spans="1:41">
      <c r="A36" s="70">
        <v>4.5300000000000001E-4</v>
      </c>
      <c r="B36" s="70">
        <f t="shared" si="7"/>
        <v>0.93548387096774188</v>
      </c>
      <c r="C36" s="74">
        <f t="shared" si="17"/>
        <v>725</v>
      </c>
      <c r="D36" s="73">
        <v>690</v>
      </c>
      <c r="E36" s="29">
        <v>760</v>
      </c>
      <c r="F36" s="27">
        <v>1</v>
      </c>
      <c r="G36" s="56">
        <v>775</v>
      </c>
      <c r="H36" s="56">
        <v>0.15</v>
      </c>
      <c r="I36" s="57">
        <v>9.9999999999999995E-8</v>
      </c>
      <c r="K36" s="71">
        <f t="shared" si="24"/>
        <v>3020000000</v>
      </c>
      <c r="L36" s="56">
        <v>1000</v>
      </c>
      <c r="M36" s="57">
        <f t="shared" si="9"/>
        <v>3020000000000</v>
      </c>
      <c r="N36" s="72">
        <f t="shared" si="25"/>
        <v>0.45300000000000001</v>
      </c>
      <c r="O36" s="173">
        <f>(E36-D36)/4/F36</f>
        <v>17.5</v>
      </c>
      <c r="P36" s="75">
        <f t="shared" si="19"/>
        <v>9.6551724137931033E-2</v>
      </c>
      <c r="Q36" s="75">
        <f t="shared" si="11"/>
        <v>4.8275862068965517E-2</v>
      </c>
      <c r="V36" s="23" t="s">
        <v>59</v>
      </c>
      <c r="W36" s="56" t="s">
        <v>60</v>
      </c>
      <c r="X36" s="20">
        <v>2006</v>
      </c>
      <c r="Y36" s="23" t="s">
        <v>54</v>
      </c>
      <c r="Z36" s="19" t="s">
        <v>126</v>
      </c>
      <c r="AA36" s="19">
        <v>1.1200000000000001</v>
      </c>
      <c r="AB36" s="99" t="s">
        <v>87</v>
      </c>
      <c r="AC36" s="108">
        <f>150/0.0000000000001</f>
        <v>1500000000000000</v>
      </c>
      <c r="AD36" s="108">
        <f>500/0.0000000000001</f>
        <v>5000000000000000</v>
      </c>
      <c r="AE36" s="76" t="s">
        <v>89</v>
      </c>
      <c r="AF36" s="100">
        <v>10000</v>
      </c>
      <c r="AG36" s="38"/>
      <c r="AH36" s="56"/>
      <c r="AI36" s="39">
        <v>150</v>
      </c>
      <c r="AJ36" s="56">
        <v>0</v>
      </c>
      <c r="AK36" s="19">
        <v>90</v>
      </c>
      <c r="AL36" s="19" t="s">
        <v>115</v>
      </c>
      <c r="AM36" s="78">
        <v>0</v>
      </c>
    </row>
    <row r="37" spans="1:41" ht="15" hidden="1" customHeight="1">
      <c r="A37" s="70">
        <v>1.5</v>
      </c>
      <c r="B37" s="70">
        <f t="shared" si="7"/>
        <v>0.28629032258064518</v>
      </c>
      <c r="C37" s="74">
        <f t="shared" si="17"/>
        <v>71</v>
      </c>
      <c r="D37" s="79">
        <v>757</v>
      </c>
      <c r="E37" s="76">
        <v>805</v>
      </c>
      <c r="F37" s="27">
        <v>11</v>
      </c>
      <c r="G37" s="19">
        <v>248</v>
      </c>
      <c r="H37" s="19">
        <v>0.38</v>
      </c>
      <c r="K37" s="71">
        <f t="shared" si="24"/>
        <v>3947368421052.6323</v>
      </c>
      <c r="L37" s="19">
        <v>100</v>
      </c>
      <c r="M37" s="57">
        <f t="shared" si="9"/>
        <v>394736842105263.25</v>
      </c>
      <c r="N37" s="72">
        <f t="shared" si="25"/>
        <v>150</v>
      </c>
      <c r="P37" s="80">
        <f t="shared" si="19"/>
        <v>6.1459667093469908E-2</v>
      </c>
      <c r="Q37" s="75">
        <f t="shared" si="11"/>
        <v>3.0729833546734954E-2</v>
      </c>
      <c r="V37" s="23" t="s">
        <v>45</v>
      </c>
      <c r="W37" s="19" t="s">
        <v>46</v>
      </c>
      <c r="X37" s="20">
        <v>1999</v>
      </c>
      <c r="Y37" s="23" t="s">
        <v>44</v>
      </c>
      <c r="Z37" s="19" t="s">
        <v>126</v>
      </c>
      <c r="AC37" s="110"/>
      <c r="AD37" s="110"/>
      <c r="AE37" s="76" t="s">
        <v>89</v>
      </c>
      <c r="AF37" s="77">
        <v>10000</v>
      </c>
      <c r="AJ37" s="19">
        <v>0</v>
      </c>
      <c r="AK37" s="19">
        <v>0</v>
      </c>
      <c r="AL37" s="19" t="s">
        <v>115</v>
      </c>
      <c r="AM37" s="78">
        <v>0</v>
      </c>
      <c r="AN37" s="104"/>
      <c r="AO37" s="104"/>
    </row>
    <row r="38" spans="1:41" ht="15" hidden="1" customHeight="1">
      <c r="A38" s="70">
        <v>1.5</v>
      </c>
      <c r="B38" s="70">
        <f t="shared" ref="B38:B63" si="26">C38/G38</f>
        <v>0.78461021505376349</v>
      </c>
      <c r="C38" s="74">
        <f t="shared" si="17"/>
        <v>194.58333333333334</v>
      </c>
      <c r="D38" s="79">
        <v>1114</v>
      </c>
      <c r="E38" s="76">
        <v>1221</v>
      </c>
      <c r="F38" s="27">
        <v>6</v>
      </c>
      <c r="G38" s="19">
        <v>248</v>
      </c>
      <c r="H38" s="19">
        <v>0.38</v>
      </c>
      <c r="K38" s="71">
        <f t="shared" si="24"/>
        <v>3947368421052.6323</v>
      </c>
      <c r="L38" s="19">
        <v>100</v>
      </c>
      <c r="M38" s="57">
        <f t="shared" si="9"/>
        <v>394736842105263.25</v>
      </c>
      <c r="N38" s="72">
        <f t="shared" si="25"/>
        <v>150</v>
      </c>
      <c r="P38" s="80">
        <f t="shared" si="19"/>
        <v>9.1648822269807265E-2</v>
      </c>
      <c r="Q38" s="75">
        <f t="shared" ref="Q38:Q63" si="27">P38/2</f>
        <v>4.5824411134903632E-2</v>
      </c>
      <c r="V38" s="23" t="s">
        <v>45</v>
      </c>
      <c r="W38" s="19" t="s">
        <v>46</v>
      </c>
      <c r="X38" s="20">
        <v>1999</v>
      </c>
      <c r="Y38" s="23" t="s">
        <v>53</v>
      </c>
      <c r="Z38" s="19" t="s">
        <v>126</v>
      </c>
      <c r="AC38" s="110"/>
      <c r="AD38" s="110"/>
      <c r="AE38" s="76" t="s">
        <v>89</v>
      </c>
      <c r="AF38" s="77">
        <v>10000</v>
      </c>
      <c r="AJ38" s="19">
        <v>0</v>
      </c>
      <c r="AK38" s="19">
        <v>0</v>
      </c>
      <c r="AL38" s="19" t="s">
        <v>115</v>
      </c>
      <c r="AM38" s="78">
        <v>0</v>
      </c>
      <c r="AN38" s="104"/>
    </row>
    <row r="39" spans="1:41">
      <c r="A39" s="70">
        <v>4.5300000000000001E-4</v>
      </c>
      <c r="B39" s="70">
        <f t="shared" si="26"/>
        <v>0.93548387096774188</v>
      </c>
      <c r="C39" s="74">
        <f>(D39+E39)/2/F39</f>
        <v>725</v>
      </c>
      <c r="D39" s="29">
        <v>670</v>
      </c>
      <c r="E39" s="73">
        <v>780</v>
      </c>
      <c r="F39" s="27">
        <v>1</v>
      </c>
      <c r="G39" s="56">
        <v>775</v>
      </c>
      <c r="H39" s="56">
        <v>0.15</v>
      </c>
      <c r="I39" s="57">
        <v>9.9999999999999995E-8</v>
      </c>
      <c r="K39" s="71">
        <f t="shared" si="24"/>
        <v>3020000000</v>
      </c>
      <c r="L39" s="56">
        <v>1000</v>
      </c>
      <c r="M39" s="57">
        <f t="shared" si="9"/>
        <v>3020000000000</v>
      </c>
      <c r="N39" s="72">
        <f t="shared" si="25"/>
        <v>0.45300000000000001</v>
      </c>
      <c r="O39" s="173">
        <f>(E39-D39)/4/F39</f>
        <v>27.5</v>
      </c>
      <c r="P39" s="75">
        <f t="shared" si="19"/>
        <v>0.15172413793103448</v>
      </c>
      <c r="Q39" s="75">
        <f t="shared" si="27"/>
        <v>7.586206896551724E-2</v>
      </c>
      <c r="V39" s="23" t="s">
        <v>59</v>
      </c>
      <c r="W39" s="56" t="s">
        <v>60</v>
      </c>
      <c r="X39" s="20">
        <v>2006</v>
      </c>
      <c r="Y39" s="23" t="s">
        <v>54</v>
      </c>
      <c r="Z39" s="19" t="s">
        <v>126</v>
      </c>
      <c r="AA39" s="19">
        <v>1.1200000000000001</v>
      </c>
      <c r="AB39" s="99" t="s">
        <v>87</v>
      </c>
      <c r="AC39" s="108">
        <f>150/0.0000000000001</f>
        <v>1500000000000000</v>
      </c>
      <c r="AD39" s="108">
        <f>500/0.0000000000001</f>
        <v>5000000000000000</v>
      </c>
      <c r="AE39" s="76" t="s">
        <v>89</v>
      </c>
      <c r="AF39" s="100">
        <v>10000</v>
      </c>
      <c r="AG39" s="38"/>
      <c r="AH39" s="56"/>
      <c r="AI39" s="39">
        <v>150</v>
      </c>
      <c r="AJ39" s="56">
        <v>0</v>
      </c>
      <c r="AK39" s="19">
        <v>45</v>
      </c>
      <c r="AL39" s="19" t="s">
        <v>116</v>
      </c>
      <c r="AM39" s="78">
        <v>0</v>
      </c>
      <c r="AN39" s="104"/>
    </row>
    <row r="40" spans="1:41" ht="15" hidden="1" customHeight="1">
      <c r="A40" s="70">
        <v>0.15</v>
      </c>
      <c r="B40" s="70">
        <f t="shared" si="26"/>
        <v>0.15125</v>
      </c>
      <c r="C40" s="74">
        <f>(E40+D40)/2/F40</f>
        <v>121</v>
      </c>
      <c r="D40" s="81">
        <v>570</v>
      </c>
      <c r="E40" s="26">
        <v>640</v>
      </c>
      <c r="F40" s="27">
        <v>5</v>
      </c>
      <c r="G40" s="19">
        <v>800</v>
      </c>
      <c r="H40" s="19">
        <v>0.1</v>
      </c>
      <c r="K40" s="71">
        <f t="shared" si="24"/>
        <v>1500000000000</v>
      </c>
      <c r="L40" s="19">
        <v>1000</v>
      </c>
      <c r="M40" s="19">
        <f t="shared" si="9"/>
        <v>1500000000000000</v>
      </c>
      <c r="N40" s="72">
        <f t="shared" si="25"/>
        <v>150</v>
      </c>
      <c r="P40" s="75">
        <f t="shared" si="19"/>
        <v>0.11570247933884298</v>
      </c>
      <c r="Q40" s="75">
        <f t="shared" si="27"/>
        <v>5.7851239669421489E-2</v>
      </c>
      <c r="U40" s="167"/>
      <c r="V40" s="23" t="s">
        <v>109</v>
      </c>
      <c r="W40" s="19" t="s">
        <v>112</v>
      </c>
      <c r="X40" s="20">
        <v>2008</v>
      </c>
      <c r="Y40" s="23" t="s">
        <v>108</v>
      </c>
      <c r="Z40" s="19" t="s">
        <v>127</v>
      </c>
      <c r="AC40" s="110"/>
      <c r="AD40" s="110"/>
      <c r="AE40" s="19" t="s">
        <v>89</v>
      </c>
      <c r="AG40" s="23">
        <v>10</v>
      </c>
      <c r="AL40" s="19" t="s">
        <v>115</v>
      </c>
      <c r="AM40" s="20">
        <v>0</v>
      </c>
      <c r="AN40" s="104" t="s">
        <v>111</v>
      </c>
    </row>
    <row r="41" spans="1:41" ht="15" hidden="1" customHeight="1">
      <c r="A41" s="70">
        <v>0.1</v>
      </c>
      <c r="B41" s="70">
        <f t="shared" si="26"/>
        <v>0.22312499999999999</v>
      </c>
      <c r="C41" s="74">
        <f>(E41+D41)/2/F41</f>
        <v>178.5</v>
      </c>
      <c r="D41" s="81">
        <v>846</v>
      </c>
      <c r="E41" s="26">
        <v>939</v>
      </c>
      <c r="F41" s="27">
        <v>5</v>
      </c>
      <c r="G41" s="19">
        <v>800</v>
      </c>
      <c r="H41" s="19">
        <v>0.1</v>
      </c>
      <c r="K41" s="71">
        <f t="shared" si="24"/>
        <v>1000000000000</v>
      </c>
      <c r="L41" s="19">
        <v>1000</v>
      </c>
      <c r="M41" s="19">
        <f t="shared" si="9"/>
        <v>1000000000000000</v>
      </c>
      <c r="N41" s="72">
        <f t="shared" si="25"/>
        <v>100</v>
      </c>
      <c r="P41" s="75">
        <f t="shared" si="19"/>
        <v>0.10420168067226891</v>
      </c>
      <c r="Q41" s="75">
        <f t="shared" si="27"/>
        <v>5.2100840336134456E-2</v>
      </c>
      <c r="V41" s="23" t="s">
        <v>109</v>
      </c>
      <c r="W41" s="19" t="s">
        <v>112</v>
      </c>
      <c r="X41" s="20">
        <v>2008</v>
      </c>
      <c r="Y41" s="23" t="s">
        <v>108</v>
      </c>
      <c r="Z41" s="19" t="s">
        <v>127</v>
      </c>
      <c r="AC41" s="110"/>
      <c r="AD41" s="110"/>
      <c r="AE41" s="19" t="s">
        <v>89</v>
      </c>
      <c r="AG41" s="23">
        <v>10</v>
      </c>
      <c r="AL41" s="19" t="s">
        <v>115</v>
      </c>
      <c r="AM41" s="20">
        <v>0</v>
      </c>
      <c r="AN41" s="167" t="s">
        <v>111</v>
      </c>
      <c r="AO41" s="167"/>
    </row>
    <row r="42" spans="1:41">
      <c r="A42" s="70">
        <v>1</v>
      </c>
      <c r="B42" s="70">
        <f t="shared" si="26"/>
        <v>0.8094285714285715</v>
      </c>
      <c r="C42" s="74">
        <f>(E42+D42)/2/F42</f>
        <v>1011.7857142857143</v>
      </c>
      <c r="D42" s="81">
        <v>6632</v>
      </c>
      <c r="E42" s="26">
        <v>7533</v>
      </c>
      <c r="F42" s="27">
        <v>7</v>
      </c>
      <c r="G42" s="19">
        <v>1250</v>
      </c>
      <c r="H42" s="19">
        <v>0.08</v>
      </c>
      <c r="K42" s="71">
        <f t="shared" si="24"/>
        <v>12500000000000</v>
      </c>
      <c r="L42" s="19">
        <v>1200</v>
      </c>
      <c r="M42" s="19">
        <f t="shared" si="9"/>
        <v>1.5E+16</v>
      </c>
      <c r="N42" s="72">
        <f t="shared" si="25"/>
        <v>1200</v>
      </c>
      <c r="O42" s="173">
        <f t="shared" ref="O42:O43" si="28">(E42-D42)/4/F42</f>
        <v>32.178571428571431</v>
      </c>
      <c r="P42" s="75">
        <f t="shared" si="19"/>
        <v>0.12721496646664313</v>
      </c>
      <c r="Q42" s="75">
        <f t="shared" si="27"/>
        <v>6.3607483233321563E-2</v>
      </c>
      <c r="V42" s="23" t="s">
        <v>122</v>
      </c>
      <c r="W42" s="19" t="s">
        <v>123</v>
      </c>
      <c r="X42" s="20">
        <v>2008</v>
      </c>
      <c r="Y42" s="23" t="s">
        <v>54</v>
      </c>
      <c r="Z42" s="19" t="s">
        <v>126</v>
      </c>
      <c r="AA42" s="19">
        <v>1.1200000000000001</v>
      </c>
      <c r="AB42" s="19">
        <v>100</v>
      </c>
      <c r="AE42" s="19" t="s">
        <v>89</v>
      </c>
      <c r="AF42" s="21">
        <v>10000</v>
      </c>
      <c r="AG42" s="23">
        <v>10</v>
      </c>
      <c r="AJ42" s="19">
        <v>0</v>
      </c>
      <c r="AK42" s="19">
        <v>0</v>
      </c>
      <c r="AL42" s="19" t="s">
        <v>115</v>
      </c>
      <c r="AM42" s="20">
        <v>0</v>
      </c>
      <c r="AN42" s="104" t="s">
        <v>111</v>
      </c>
    </row>
    <row r="43" spans="1:41">
      <c r="A43" s="70">
        <v>1</v>
      </c>
      <c r="B43" s="70">
        <f t="shared" si="26"/>
        <v>0.82711111111111113</v>
      </c>
      <c r="C43" s="74">
        <f>(E43+D43)/2/F43</f>
        <v>1033.8888888888889</v>
      </c>
      <c r="D43" s="81">
        <v>9050</v>
      </c>
      <c r="E43" s="26">
        <v>9560</v>
      </c>
      <c r="F43" s="27">
        <v>9</v>
      </c>
      <c r="G43" s="19">
        <v>1250</v>
      </c>
      <c r="H43" s="21">
        <v>0.1</v>
      </c>
      <c r="K43" s="71">
        <f t="shared" si="24"/>
        <v>10000000000000</v>
      </c>
      <c r="L43" s="19">
        <v>1200</v>
      </c>
      <c r="M43" s="19">
        <f t="shared" si="9"/>
        <v>1.2E+16</v>
      </c>
      <c r="N43" s="72">
        <f t="shared" si="25"/>
        <v>1200</v>
      </c>
      <c r="O43" s="173">
        <f t="shared" si="28"/>
        <v>14.166666666666666</v>
      </c>
      <c r="P43" s="75">
        <f t="shared" si="19"/>
        <v>5.4809242342826435E-2</v>
      </c>
      <c r="Q43" s="75">
        <f t="shared" si="27"/>
        <v>2.7404621171413217E-2</v>
      </c>
      <c r="V43" s="23" t="s">
        <v>122</v>
      </c>
      <c r="W43" s="19" t="s">
        <v>151</v>
      </c>
      <c r="X43" s="20">
        <v>2009</v>
      </c>
      <c r="Y43" s="23" t="s">
        <v>54</v>
      </c>
      <c r="Z43" s="19" t="s">
        <v>126</v>
      </c>
      <c r="AA43" s="19">
        <v>1.1200000000000001</v>
      </c>
      <c r="AB43" s="19">
        <v>100</v>
      </c>
      <c r="AE43" s="19" t="s">
        <v>89</v>
      </c>
      <c r="AF43" s="21">
        <v>10000</v>
      </c>
      <c r="AG43" s="23">
        <v>10</v>
      </c>
      <c r="AI43" s="39">
        <v>123</v>
      </c>
      <c r="AN43" s="112"/>
    </row>
    <row r="44" spans="1:41" ht="15" hidden="1" customHeight="1">
      <c r="A44" s="107">
        <f>K44*H44*0.000000000001</f>
        <v>80</v>
      </c>
      <c r="B44" s="70">
        <f t="shared" si="26"/>
        <v>0.25</v>
      </c>
      <c r="C44" s="74">
        <v>200</v>
      </c>
      <c r="G44" s="19">
        <v>800</v>
      </c>
      <c r="H44" s="19">
        <v>0.1</v>
      </c>
      <c r="K44" s="71">
        <v>800000000000000</v>
      </c>
      <c r="L44" s="19">
        <v>5000</v>
      </c>
      <c r="M44" s="19">
        <f t="shared" si="9"/>
        <v>4E+18</v>
      </c>
      <c r="N44" s="72">
        <f t="shared" si="25"/>
        <v>400000</v>
      </c>
      <c r="Q44" s="75">
        <f t="shared" si="27"/>
        <v>0</v>
      </c>
      <c r="V44" s="23" t="s">
        <v>121</v>
      </c>
      <c r="W44" s="19" t="s">
        <v>75</v>
      </c>
      <c r="X44" s="20">
        <v>2006</v>
      </c>
      <c r="Y44" s="23" t="s">
        <v>113</v>
      </c>
      <c r="Z44" s="19" t="s">
        <v>127</v>
      </c>
      <c r="AA44" s="19">
        <v>12</v>
      </c>
      <c r="AB44" s="19">
        <v>111</v>
      </c>
      <c r="AD44" s="19">
        <f>30000000000000*10000</f>
        <v>3E+17</v>
      </c>
      <c r="AE44" s="19" t="s">
        <v>72</v>
      </c>
      <c r="AF44" s="19">
        <f>0.000000000001*15</f>
        <v>1.5E-11</v>
      </c>
      <c r="AG44" s="23">
        <v>1000</v>
      </c>
      <c r="AJ44" s="19">
        <v>0</v>
      </c>
      <c r="AK44" s="19" t="s">
        <v>119</v>
      </c>
      <c r="AL44" s="19" t="s">
        <v>116</v>
      </c>
      <c r="AM44" s="20">
        <v>45</v>
      </c>
    </row>
    <row r="45" spans="1:41" ht="15" hidden="1" customHeight="1">
      <c r="A45" s="107">
        <f>K45*H45*0.000000000001</f>
        <v>80</v>
      </c>
      <c r="B45" s="70">
        <f t="shared" si="26"/>
        <v>0.28749999999999998</v>
      </c>
      <c r="C45" s="74">
        <v>230</v>
      </c>
      <c r="G45" s="19">
        <v>800</v>
      </c>
      <c r="H45" s="19">
        <v>0.1</v>
      </c>
      <c r="K45" s="71">
        <v>800000000000000</v>
      </c>
      <c r="L45" s="19">
        <v>5000</v>
      </c>
      <c r="M45" s="19">
        <f t="shared" si="9"/>
        <v>4E+18</v>
      </c>
      <c r="N45" s="72">
        <f t="shared" si="25"/>
        <v>400000</v>
      </c>
      <c r="Q45" s="75">
        <f t="shared" si="27"/>
        <v>0</v>
      </c>
      <c r="V45" s="23" t="s">
        <v>121</v>
      </c>
      <c r="W45" s="19" t="s">
        <v>75</v>
      </c>
      <c r="X45" s="20">
        <v>2006</v>
      </c>
      <c r="Y45" s="23" t="s">
        <v>113</v>
      </c>
      <c r="Z45" s="19" t="s">
        <v>127</v>
      </c>
      <c r="AA45" s="19">
        <v>12</v>
      </c>
      <c r="AB45" s="19">
        <v>111</v>
      </c>
      <c r="AD45" s="19">
        <f>30000000000000*10000</f>
        <v>3E+17</v>
      </c>
      <c r="AE45" s="19" t="s">
        <v>72</v>
      </c>
      <c r="AF45" s="19">
        <f>0.000000000001*15</f>
        <v>1.5E-11</v>
      </c>
      <c r="AG45" s="23">
        <v>1000</v>
      </c>
      <c r="AJ45" s="19">
        <v>0</v>
      </c>
      <c r="AK45" s="19" t="s">
        <v>120</v>
      </c>
      <c r="AL45" s="19" t="s">
        <v>116</v>
      </c>
      <c r="AM45" s="20">
        <v>45</v>
      </c>
      <c r="AN45" s="111" t="s">
        <v>111</v>
      </c>
    </row>
    <row r="46" spans="1:41" ht="15" hidden="1" customHeight="1">
      <c r="B46" s="70">
        <f t="shared" si="26"/>
        <v>0.40803571428571428</v>
      </c>
      <c r="C46" s="74">
        <f>(E46+D46)/2/F46</f>
        <v>326.42857142857144</v>
      </c>
      <c r="D46" s="73">
        <v>11340</v>
      </c>
      <c r="E46" s="29">
        <v>11510</v>
      </c>
      <c r="F46" s="27">
        <v>35</v>
      </c>
      <c r="G46" s="56">
        <v>800</v>
      </c>
      <c r="H46" s="56">
        <v>0.12</v>
      </c>
      <c r="I46" s="56"/>
      <c r="K46" s="71">
        <v>9000000000000</v>
      </c>
      <c r="L46" s="56">
        <v>45000</v>
      </c>
      <c r="M46" s="57">
        <f t="shared" si="9"/>
        <v>4.05E+17</v>
      </c>
      <c r="P46" s="75">
        <f>(E46-D46)/F46/C46</f>
        <v>1.4879649890590808E-2</v>
      </c>
      <c r="Q46" s="75">
        <f t="shared" si="27"/>
        <v>7.4398249452954038E-3</v>
      </c>
      <c r="V46" s="23" t="s">
        <v>70</v>
      </c>
      <c r="W46" s="56" t="s">
        <v>76</v>
      </c>
      <c r="X46" s="20">
        <v>2002</v>
      </c>
      <c r="Y46" s="23" t="s">
        <v>77</v>
      </c>
      <c r="Z46" s="19" t="s">
        <v>127</v>
      </c>
      <c r="AA46" s="19">
        <v>11.3</v>
      </c>
      <c r="AC46" s="110"/>
      <c r="AD46" s="108">
        <f>500/0.0000000000001</f>
        <v>5000000000000000</v>
      </c>
      <c r="AE46" s="56" t="s">
        <v>72</v>
      </c>
      <c r="AF46" s="57">
        <f>0.000000000001*100000</f>
        <v>9.9999999999999995E-8</v>
      </c>
      <c r="AG46" s="38">
        <v>1000</v>
      </c>
      <c r="AJ46" s="19">
        <v>3</v>
      </c>
      <c r="AL46" s="19" t="s">
        <v>115</v>
      </c>
    </row>
    <row r="47" spans="1:41">
      <c r="B47" s="70">
        <f t="shared" si="26"/>
        <v>0.25</v>
      </c>
      <c r="C47" s="74">
        <v>200</v>
      </c>
      <c r="G47" s="56">
        <v>800</v>
      </c>
      <c r="H47" s="56">
        <v>0.1</v>
      </c>
      <c r="I47" s="56"/>
      <c r="K47" s="101"/>
      <c r="M47" s="57">
        <f t="shared" si="9"/>
        <v>0</v>
      </c>
      <c r="Q47" s="75">
        <f t="shared" si="27"/>
        <v>0</v>
      </c>
      <c r="V47" s="23" t="s">
        <v>70</v>
      </c>
      <c r="W47" s="56" t="s">
        <v>71</v>
      </c>
      <c r="X47" s="20">
        <v>2006</v>
      </c>
      <c r="Y47" s="23" t="s">
        <v>54</v>
      </c>
      <c r="Z47" s="19" t="s">
        <v>126</v>
      </c>
      <c r="AA47" s="19">
        <v>1.1200000000000001</v>
      </c>
      <c r="AB47" s="99" t="s">
        <v>85</v>
      </c>
      <c r="AC47" s="108">
        <f>150/0.0000000000001</f>
        <v>1500000000000000</v>
      </c>
      <c r="AD47" s="108">
        <f>500/0.0000000000001</f>
        <v>5000000000000000</v>
      </c>
      <c r="AE47" s="56" t="s">
        <v>72</v>
      </c>
      <c r="AF47" s="56"/>
      <c r="AG47" s="38"/>
      <c r="AH47" s="21">
        <v>1E+21</v>
      </c>
      <c r="AI47" s="39">
        <v>100</v>
      </c>
      <c r="AL47" s="19" t="s">
        <v>115</v>
      </c>
    </row>
    <row r="48" spans="1:41">
      <c r="B48" s="70">
        <f t="shared" si="26"/>
        <v>0.625</v>
      </c>
      <c r="C48" s="74">
        <v>500</v>
      </c>
      <c r="D48" s="129"/>
      <c r="G48" s="56">
        <v>800</v>
      </c>
      <c r="H48" s="56">
        <v>0.1</v>
      </c>
      <c r="I48" s="56"/>
      <c r="K48" s="101"/>
      <c r="M48" s="57">
        <f t="shared" si="9"/>
        <v>0</v>
      </c>
      <c r="Q48" s="75">
        <f t="shared" si="27"/>
        <v>0</v>
      </c>
      <c r="V48" s="23" t="s">
        <v>70</v>
      </c>
      <c r="W48" s="56" t="s">
        <v>71</v>
      </c>
      <c r="X48" s="20">
        <v>2006</v>
      </c>
      <c r="Y48" s="23" t="s">
        <v>54</v>
      </c>
      <c r="Z48" s="19" t="s">
        <v>126</v>
      </c>
      <c r="AA48" s="19">
        <v>1.1200000000000001</v>
      </c>
      <c r="AB48" s="99" t="s">
        <v>85</v>
      </c>
      <c r="AC48" s="108">
        <f>150/0.0000000000001</f>
        <v>1500000000000000</v>
      </c>
      <c r="AD48" s="108">
        <f>500/0.0000000000001</f>
        <v>5000000000000000</v>
      </c>
      <c r="AE48" s="56" t="s">
        <v>72</v>
      </c>
      <c r="AF48" s="56"/>
      <c r="AG48" s="38"/>
      <c r="AH48" s="21">
        <v>1E+21</v>
      </c>
      <c r="AI48" s="39">
        <v>100</v>
      </c>
      <c r="AL48" s="19" t="s">
        <v>115</v>
      </c>
      <c r="AN48" s="112"/>
    </row>
    <row r="49" spans="1:39" ht="15" hidden="1" customHeight="1">
      <c r="A49" s="70">
        <v>1</v>
      </c>
      <c r="B49" s="70">
        <f t="shared" si="26"/>
        <v>0</v>
      </c>
      <c r="C49" s="74">
        <f t="shared" ref="C49:C60" si="29">1000000000*(D49+E49)/2</f>
        <v>0</v>
      </c>
      <c r="D49" s="73"/>
      <c r="E49" s="73"/>
      <c r="F49" s="27">
        <v>1</v>
      </c>
      <c r="G49" s="19">
        <v>800</v>
      </c>
      <c r="H49" s="19">
        <v>4.4999999999999998E-2</v>
      </c>
      <c r="L49" s="19" t="s">
        <v>62</v>
      </c>
      <c r="Q49" s="75">
        <f t="shared" si="27"/>
        <v>0</v>
      </c>
      <c r="V49" s="23" t="s">
        <v>184</v>
      </c>
      <c r="W49" s="19" t="s">
        <v>185</v>
      </c>
      <c r="X49" s="20">
        <v>2011</v>
      </c>
      <c r="Y49" s="23" t="s">
        <v>186</v>
      </c>
      <c r="AA49" s="19">
        <v>2.2999999999999998</v>
      </c>
      <c r="AL49" s="19" t="s">
        <v>116</v>
      </c>
    </row>
    <row r="50" spans="1:39" ht="15" hidden="1" customHeight="1">
      <c r="A50" s="70">
        <v>0.1</v>
      </c>
      <c r="B50" s="70">
        <f t="shared" si="26"/>
        <v>0.28125</v>
      </c>
      <c r="C50" s="74">
        <f t="shared" si="29"/>
        <v>225</v>
      </c>
      <c r="D50" s="73">
        <v>2.1E-7</v>
      </c>
      <c r="E50" s="73">
        <v>2.3999999999999998E-7</v>
      </c>
      <c r="F50" s="27">
        <v>1</v>
      </c>
      <c r="G50" s="19">
        <v>800</v>
      </c>
      <c r="H50" s="21">
        <v>4.4999999999999998E-2</v>
      </c>
      <c r="L50" s="19" t="s">
        <v>62</v>
      </c>
      <c r="Q50" s="75">
        <f t="shared" si="27"/>
        <v>0</v>
      </c>
      <c r="V50" s="23" t="s">
        <v>184</v>
      </c>
      <c r="W50" s="19" t="s">
        <v>185</v>
      </c>
      <c r="X50" s="20">
        <v>2011</v>
      </c>
      <c r="Y50" s="23" t="s">
        <v>186</v>
      </c>
      <c r="AA50" s="19">
        <v>2.2999999999999998</v>
      </c>
      <c r="AJ50" s="19">
        <v>0</v>
      </c>
      <c r="AL50" s="19" t="s">
        <v>115</v>
      </c>
    </row>
    <row r="51" spans="1:39" ht="15" hidden="1" customHeight="1">
      <c r="A51" s="70">
        <v>1</v>
      </c>
      <c r="B51" s="70">
        <f t="shared" si="26"/>
        <v>0.76250000000000018</v>
      </c>
      <c r="C51" s="74">
        <f t="shared" si="29"/>
        <v>610.00000000000011</v>
      </c>
      <c r="D51" s="73">
        <v>5.7000000000000005E-7</v>
      </c>
      <c r="E51" s="29">
        <v>6.5000000000000002E-7</v>
      </c>
      <c r="F51" s="27">
        <v>1</v>
      </c>
      <c r="G51" s="19">
        <v>800</v>
      </c>
      <c r="H51" s="21">
        <v>4.4999999999999998E-2</v>
      </c>
      <c r="L51" s="19" t="s">
        <v>62</v>
      </c>
      <c r="Q51" s="75">
        <f t="shared" si="27"/>
        <v>0</v>
      </c>
      <c r="V51" s="23" t="s">
        <v>184</v>
      </c>
      <c r="W51" s="19" t="s">
        <v>185</v>
      </c>
      <c r="X51" s="20">
        <v>2011</v>
      </c>
      <c r="Y51" s="23" t="s">
        <v>186</v>
      </c>
      <c r="AA51" s="19">
        <v>2.2999999999999998</v>
      </c>
    </row>
    <row r="52" spans="1:39" s="165" customFormat="1" ht="15" hidden="1" customHeight="1">
      <c r="A52" s="70"/>
      <c r="B52" s="70">
        <f t="shared" si="26"/>
        <v>0.73124999999999996</v>
      </c>
      <c r="C52" s="74">
        <f t="shared" si="29"/>
        <v>585</v>
      </c>
      <c r="D52" s="73">
        <v>4.5999999999999999E-7</v>
      </c>
      <c r="E52" s="29">
        <v>7.0999999999999998E-7</v>
      </c>
      <c r="F52" s="27">
        <v>1</v>
      </c>
      <c r="G52" s="19">
        <v>800</v>
      </c>
      <c r="H52" s="21">
        <v>4.4999999999999998E-2</v>
      </c>
      <c r="I52" s="19"/>
      <c r="J52"/>
      <c r="K52" s="71"/>
      <c r="L52" s="19" t="s">
        <v>62</v>
      </c>
      <c r="M52" s="19"/>
      <c r="N52" s="72"/>
      <c r="O52" s="72"/>
      <c r="P52" s="75"/>
      <c r="Q52" s="75">
        <f t="shared" si="27"/>
        <v>0</v>
      </c>
      <c r="V52" s="23" t="s">
        <v>184</v>
      </c>
      <c r="W52" s="19" t="s">
        <v>185</v>
      </c>
      <c r="X52" s="20">
        <v>2011</v>
      </c>
      <c r="Y52" s="23" t="s">
        <v>191</v>
      </c>
      <c r="Z52" s="19"/>
      <c r="AA52" s="19">
        <v>1.42</v>
      </c>
      <c r="AB52" s="19"/>
      <c r="AC52" s="19"/>
      <c r="AD52" s="19"/>
      <c r="AE52" s="19"/>
      <c r="AF52" s="19"/>
      <c r="AG52" s="23"/>
      <c r="AH52" s="19"/>
      <c r="AI52" s="39"/>
      <c r="AJ52" s="19"/>
      <c r="AK52" s="19"/>
      <c r="AL52" s="19"/>
      <c r="AM52" s="20"/>
    </row>
    <row r="53" spans="1:39" s="165" customFormat="1" ht="15" hidden="1" customHeight="1">
      <c r="A53" s="70"/>
      <c r="B53" s="70">
        <f t="shared" si="26"/>
        <v>0.58125000000000004</v>
      </c>
      <c r="C53" s="74">
        <f t="shared" si="29"/>
        <v>465</v>
      </c>
      <c r="D53" s="73">
        <v>3.9999999999999998E-7</v>
      </c>
      <c r="E53" s="29">
        <v>5.3000000000000001E-7</v>
      </c>
      <c r="F53" s="27">
        <v>1</v>
      </c>
      <c r="G53" s="19">
        <v>800</v>
      </c>
      <c r="H53" s="21">
        <v>4.4999999999999998E-2</v>
      </c>
      <c r="I53" s="19"/>
      <c r="J53"/>
      <c r="K53" s="71"/>
      <c r="L53" s="19" t="s">
        <v>62</v>
      </c>
      <c r="M53" s="19"/>
      <c r="N53" s="72"/>
      <c r="O53" s="72"/>
      <c r="P53" s="75"/>
      <c r="Q53" s="75">
        <f t="shared" si="27"/>
        <v>0</v>
      </c>
      <c r="V53" s="23" t="s">
        <v>184</v>
      </c>
      <c r="W53" s="19" t="s">
        <v>185</v>
      </c>
      <c r="X53" s="20">
        <v>2011</v>
      </c>
      <c r="Y53" s="23" t="s">
        <v>52</v>
      </c>
      <c r="Z53" s="19"/>
      <c r="AA53" s="19">
        <v>1.35</v>
      </c>
      <c r="AB53" s="19"/>
      <c r="AC53" s="19"/>
      <c r="AD53" s="19"/>
      <c r="AE53" s="19"/>
      <c r="AF53" s="19"/>
      <c r="AG53" s="23"/>
      <c r="AH53" s="19"/>
      <c r="AI53" s="39"/>
      <c r="AJ53" s="19"/>
      <c r="AK53" s="19"/>
      <c r="AL53" s="19"/>
      <c r="AM53" s="20"/>
    </row>
    <row r="54" spans="1:39" s="165" customFormat="1" ht="15" hidden="1" customHeight="1">
      <c r="A54" s="70"/>
      <c r="B54" s="70">
        <f t="shared" si="26"/>
        <v>0.33124999999999999</v>
      </c>
      <c r="C54" s="74">
        <f t="shared" si="29"/>
        <v>265</v>
      </c>
      <c r="D54" s="73">
        <v>2.4999999999999999E-7</v>
      </c>
      <c r="E54" s="29">
        <v>2.8000000000000002E-7</v>
      </c>
      <c r="F54" s="27">
        <v>1</v>
      </c>
      <c r="G54" s="19">
        <v>800</v>
      </c>
      <c r="H54" s="21">
        <v>4.4999999999999998E-2</v>
      </c>
      <c r="I54" s="19"/>
      <c r="J54"/>
      <c r="K54" s="71"/>
      <c r="L54" s="19" t="s">
        <v>62</v>
      </c>
      <c r="M54" s="19"/>
      <c r="N54" s="72"/>
      <c r="O54" s="72"/>
      <c r="P54" s="75"/>
      <c r="Q54" s="75">
        <f t="shared" si="27"/>
        <v>0</v>
      </c>
      <c r="V54" s="23" t="s">
        <v>184</v>
      </c>
      <c r="W54" s="19" t="s">
        <v>185</v>
      </c>
      <c r="X54" s="20">
        <v>2011</v>
      </c>
      <c r="Y54" s="23" t="s">
        <v>192</v>
      </c>
      <c r="Z54" s="19"/>
      <c r="AA54" s="19">
        <v>3.4</v>
      </c>
      <c r="AB54" s="19"/>
      <c r="AC54" s="19"/>
      <c r="AD54" s="19"/>
      <c r="AE54" s="19"/>
      <c r="AF54" s="19"/>
      <c r="AG54" s="23"/>
      <c r="AH54" s="19"/>
      <c r="AI54" s="39"/>
      <c r="AJ54" s="19"/>
      <c r="AK54" s="19"/>
      <c r="AL54" s="19"/>
      <c r="AM54" s="20"/>
    </row>
    <row r="55" spans="1:39" s="165" customFormat="1" ht="15" hidden="1" customHeight="1">
      <c r="A55" s="70"/>
      <c r="B55" s="70">
        <f t="shared" si="26"/>
        <v>0.21249999999999999</v>
      </c>
      <c r="C55" s="74">
        <f t="shared" si="29"/>
        <v>170</v>
      </c>
      <c r="D55" s="73">
        <v>1.6E-7</v>
      </c>
      <c r="E55" s="29">
        <v>1.8E-7</v>
      </c>
      <c r="F55" s="27">
        <v>1</v>
      </c>
      <c r="G55" s="19">
        <v>800</v>
      </c>
      <c r="H55" s="21">
        <v>4.4999999999999998E-2</v>
      </c>
      <c r="I55" s="19"/>
      <c r="J55"/>
      <c r="K55" s="71"/>
      <c r="L55" s="19" t="s">
        <v>62</v>
      </c>
      <c r="M55" s="19"/>
      <c r="N55" s="72"/>
      <c r="O55" s="72"/>
      <c r="P55" s="75"/>
      <c r="Q55" s="75">
        <f t="shared" si="27"/>
        <v>0</v>
      </c>
      <c r="V55" s="23" t="s">
        <v>184</v>
      </c>
      <c r="W55" s="19" t="s">
        <v>185</v>
      </c>
      <c r="X55" s="20">
        <v>2011</v>
      </c>
      <c r="Y55" s="23" t="s">
        <v>193</v>
      </c>
      <c r="Z55" s="19"/>
      <c r="AA55" s="19">
        <v>3.37</v>
      </c>
      <c r="AB55" s="19"/>
      <c r="AC55" s="19"/>
      <c r="AD55" s="19"/>
      <c r="AE55" s="19"/>
      <c r="AF55" s="19"/>
      <c r="AG55" s="23"/>
      <c r="AH55" s="19"/>
      <c r="AI55" s="39"/>
      <c r="AJ55" s="19"/>
      <c r="AK55" s="19"/>
      <c r="AL55" s="19"/>
      <c r="AM55" s="20"/>
    </row>
    <row r="56" spans="1:39" s="165" customFormat="1" ht="15" hidden="1" customHeight="1">
      <c r="A56" s="70"/>
      <c r="B56" s="70">
        <f t="shared" si="26"/>
        <v>0.110625</v>
      </c>
      <c r="C56" s="74">
        <f t="shared" si="29"/>
        <v>88.5</v>
      </c>
      <c r="D56" s="73">
        <v>8.3000000000000002E-8</v>
      </c>
      <c r="E56" s="29">
        <v>9.3999999999999995E-8</v>
      </c>
      <c r="F56" s="27">
        <v>1</v>
      </c>
      <c r="G56" s="19">
        <v>800</v>
      </c>
      <c r="H56" s="21">
        <v>4.4999999999999998E-2</v>
      </c>
      <c r="I56" s="19"/>
      <c r="J56"/>
      <c r="K56" s="71"/>
      <c r="L56" s="19" t="s">
        <v>62</v>
      </c>
      <c r="M56" s="19"/>
      <c r="N56" s="72"/>
      <c r="O56" s="72"/>
      <c r="P56" s="75"/>
      <c r="Q56" s="75">
        <f t="shared" si="27"/>
        <v>0</v>
      </c>
      <c r="V56" s="23" t="s">
        <v>184</v>
      </c>
      <c r="W56" s="19" t="s">
        <v>185</v>
      </c>
      <c r="X56" s="20">
        <v>2011</v>
      </c>
      <c r="Y56" s="23" t="s">
        <v>193</v>
      </c>
      <c r="Z56" s="19"/>
      <c r="AA56" s="19">
        <v>3.37</v>
      </c>
      <c r="AB56" s="19"/>
      <c r="AC56" s="19"/>
      <c r="AD56" s="19"/>
      <c r="AE56" s="19"/>
      <c r="AF56" s="19"/>
      <c r="AG56" s="23"/>
      <c r="AH56" s="19"/>
      <c r="AI56" s="39"/>
      <c r="AJ56" s="19"/>
      <c r="AK56" s="19"/>
      <c r="AL56" s="19"/>
      <c r="AM56" s="20"/>
    </row>
    <row r="57" spans="1:39" s="165" customFormat="1" ht="15" hidden="1" customHeight="1">
      <c r="A57" s="70"/>
      <c r="B57" s="70">
        <f t="shared" si="26"/>
        <v>0.88124999999999998</v>
      </c>
      <c r="C57" s="74">
        <f t="shared" si="29"/>
        <v>705</v>
      </c>
      <c r="D57" s="73">
        <v>6.0999999999999998E-7</v>
      </c>
      <c r="E57" s="29">
        <v>7.9999999999999996E-7</v>
      </c>
      <c r="F57" s="27">
        <v>1</v>
      </c>
      <c r="G57" s="19">
        <v>800</v>
      </c>
      <c r="H57" s="21">
        <v>4.4999999999999998E-2</v>
      </c>
      <c r="I57" s="19"/>
      <c r="J57"/>
      <c r="K57" s="71"/>
      <c r="L57" s="19" t="s">
        <v>62</v>
      </c>
      <c r="M57" s="19"/>
      <c r="N57" s="72"/>
      <c r="O57" s="72"/>
      <c r="P57" s="75"/>
      <c r="Q57" s="75">
        <f t="shared" si="27"/>
        <v>0</v>
      </c>
      <c r="V57" s="23" t="s">
        <v>184</v>
      </c>
      <c r="W57" s="19" t="s">
        <v>185</v>
      </c>
      <c r="X57" s="20">
        <v>2011</v>
      </c>
      <c r="Y57" s="23" t="s">
        <v>52</v>
      </c>
      <c r="Z57" s="19"/>
      <c r="AA57" s="19">
        <v>1.35</v>
      </c>
      <c r="AB57" s="19"/>
      <c r="AC57" s="19"/>
      <c r="AD57" s="19"/>
      <c r="AE57" s="19"/>
      <c r="AF57" s="19"/>
      <c r="AG57" s="23"/>
      <c r="AH57" s="19"/>
      <c r="AI57" s="39"/>
      <c r="AJ57" s="19"/>
      <c r="AK57" s="19"/>
      <c r="AL57" s="19"/>
      <c r="AM57" s="20"/>
    </row>
    <row r="58" spans="1:39" s="165" customFormat="1" ht="15" hidden="1" customHeight="1">
      <c r="A58" s="70"/>
      <c r="B58" s="70">
        <f t="shared" si="26"/>
        <v>0.23749999999999999</v>
      </c>
      <c r="C58" s="74">
        <f t="shared" si="29"/>
        <v>190</v>
      </c>
      <c r="D58" s="73">
        <v>1.9000000000000001E-7</v>
      </c>
      <c r="E58" s="29">
        <v>1.9000000000000001E-7</v>
      </c>
      <c r="F58" s="27">
        <v>1</v>
      </c>
      <c r="G58" s="19">
        <v>800</v>
      </c>
      <c r="H58" s="21">
        <v>4.4999999999999998E-2</v>
      </c>
      <c r="I58" s="19"/>
      <c r="J58"/>
      <c r="K58" s="71"/>
      <c r="L58" s="19" t="s">
        <v>62</v>
      </c>
      <c r="M58" s="19"/>
      <c r="N58" s="72"/>
      <c r="O58" s="72"/>
      <c r="P58" s="75"/>
      <c r="Q58" s="75">
        <f t="shared" si="27"/>
        <v>0</v>
      </c>
      <c r="V58" s="23" t="s">
        <v>184</v>
      </c>
      <c r="W58" s="19" t="s">
        <v>185</v>
      </c>
      <c r="X58" s="20">
        <v>2011</v>
      </c>
      <c r="Y58" s="23" t="s">
        <v>186</v>
      </c>
      <c r="Z58" s="19"/>
      <c r="AA58" s="19">
        <v>2.2999999999999998</v>
      </c>
      <c r="AB58" s="19"/>
      <c r="AC58" s="19"/>
      <c r="AD58" s="19"/>
      <c r="AE58" s="19"/>
      <c r="AF58" s="19"/>
      <c r="AG58" s="23"/>
      <c r="AH58" s="19"/>
      <c r="AI58" s="39"/>
      <c r="AJ58" s="19"/>
      <c r="AK58" s="19"/>
      <c r="AL58" s="19"/>
      <c r="AM58" s="20"/>
    </row>
    <row r="59" spans="1:39" ht="15" hidden="1" customHeight="1">
      <c r="A59" s="70">
        <v>1</v>
      </c>
      <c r="B59" s="70">
        <f t="shared" si="26"/>
        <v>1.5875000000000004</v>
      </c>
      <c r="C59" s="74">
        <f t="shared" si="29"/>
        <v>635.00000000000011</v>
      </c>
      <c r="D59" s="73">
        <v>6.1999999999999999E-7</v>
      </c>
      <c r="E59" s="29">
        <v>6.5000000000000002E-7</v>
      </c>
      <c r="F59" s="27">
        <v>1</v>
      </c>
      <c r="G59" s="19">
        <v>400</v>
      </c>
      <c r="H59" s="21">
        <v>0.15</v>
      </c>
      <c r="L59" s="19">
        <v>50</v>
      </c>
      <c r="Q59" s="75">
        <f t="shared" si="27"/>
        <v>0</v>
      </c>
      <c r="V59" s="23" t="s">
        <v>188</v>
      </c>
      <c r="W59" s="19" t="s">
        <v>189</v>
      </c>
      <c r="X59" s="20">
        <v>2004</v>
      </c>
      <c r="Y59" s="23" t="s">
        <v>190</v>
      </c>
      <c r="AA59" s="19">
        <v>9</v>
      </c>
      <c r="AG59" s="23">
        <v>1000</v>
      </c>
      <c r="AL59" s="19" t="s">
        <v>115</v>
      </c>
      <c r="AM59" s="20">
        <v>90</v>
      </c>
    </row>
    <row r="60" spans="1:39" ht="15" hidden="1" customHeight="1">
      <c r="B60" s="70">
        <f t="shared" si="26"/>
        <v>1.5875000000000004</v>
      </c>
      <c r="C60" s="74">
        <f t="shared" si="29"/>
        <v>635.00000000000011</v>
      </c>
      <c r="D60" s="73">
        <v>5.7000000000000005E-7</v>
      </c>
      <c r="E60" s="29">
        <v>6.9999999999999997E-7</v>
      </c>
      <c r="F60" s="27">
        <v>1</v>
      </c>
      <c r="G60" s="19">
        <v>400</v>
      </c>
      <c r="H60" s="21">
        <v>0.15</v>
      </c>
      <c r="L60" s="19">
        <v>100</v>
      </c>
      <c r="Q60" s="75">
        <f t="shared" si="27"/>
        <v>0</v>
      </c>
      <c r="V60" s="23" t="s">
        <v>188</v>
      </c>
      <c r="W60" s="19" t="s">
        <v>189</v>
      </c>
      <c r="X60" s="20">
        <v>2004</v>
      </c>
      <c r="Y60" s="23" t="s">
        <v>190</v>
      </c>
      <c r="AA60" s="19">
        <v>9</v>
      </c>
      <c r="AL60" s="19" t="s">
        <v>115</v>
      </c>
      <c r="AM60" s="20">
        <v>90</v>
      </c>
    </row>
    <row r="61" spans="1:39">
      <c r="A61" s="70">
        <f>+K61*H61*0.000000000001</f>
        <v>0.192</v>
      </c>
      <c r="B61" s="70">
        <f t="shared" si="26"/>
        <v>0.93125000000000002</v>
      </c>
      <c r="C61" s="74">
        <f>(E61+D61)/2/F61</f>
        <v>745</v>
      </c>
      <c r="D61" s="73">
        <v>690</v>
      </c>
      <c r="E61" s="29">
        <v>800</v>
      </c>
      <c r="F61" s="27">
        <v>1</v>
      </c>
      <c r="G61" s="19">
        <v>800</v>
      </c>
      <c r="H61" s="21">
        <v>0.12</v>
      </c>
      <c r="K61" s="71">
        <v>1600000000000</v>
      </c>
      <c r="L61" s="19">
        <v>10000</v>
      </c>
      <c r="M61" s="21">
        <f>K61*L61</f>
        <v>1.6E+16</v>
      </c>
      <c r="O61" s="173">
        <f t="shared" ref="O61:O63" si="30">(E61-D61)/4/F61</f>
        <v>27.5</v>
      </c>
      <c r="P61" s="75">
        <f>(E61-D61)/(2*C61)</f>
        <v>7.3825503355704702E-2</v>
      </c>
      <c r="Q61" s="75">
        <f t="shared" si="27"/>
        <v>3.6912751677852351E-2</v>
      </c>
      <c r="V61" s="23" t="s">
        <v>194</v>
      </c>
      <c r="W61" s="19" t="s">
        <v>195</v>
      </c>
      <c r="X61" s="20">
        <v>2004</v>
      </c>
      <c r="Y61" s="23" t="s">
        <v>54</v>
      </c>
      <c r="Z61" s="19" t="s">
        <v>127</v>
      </c>
      <c r="AA61" s="19">
        <v>1.1200000000000001</v>
      </c>
      <c r="AB61" s="19">
        <v>100</v>
      </c>
      <c r="AE61" s="19" t="s">
        <v>72</v>
      </c>
      <c r="AG61" s="23">
        <v>1000</v>
      </c>
      <c r="AL61" s="19" t="s">
        <v>115</v>
      </c>
      <c r="AM61" s="20">
        <v>0</v>
      </c>
    </row>
    <row r="62" spans="1:39">
      <c r="B62" s="70">
        <f t="shared" si="26"/>
        <v>0.82499999999999996</v>
      </c>
      <c r="C62" s="74">
        <f>(D62+E62)/2</f>
        <v>660</v>
      </c>
      <c r="D62" s="73">
        <f>0.000000061*10000000000</f>
        <v>610</v>
      </c>
      <c r="E62" s="29">
        <f>0.00000071*1000000000</f>
        <v>710</v>
      </c>
      <c r="F62" s="27">
        <v>1</v>
      </c>
      <c r="G62" s="19">
        <v>800</v>
      </c>
      <c r="H62" s="21">
        <v>0.12</v>
      </c>
      <c r="K62" s="71">
        <v>1600000000000</v>
      </c>
      <c r="L62" s="19">
        <v>20000</v>
      </c>
      <c r="M62" s="21">
        <f>K62*L62</f>
        <v>3.2E+16</v>
      </c>
      <c r="O62" s="173">
        <f t="shared" si="30"/>
        <v>25</v>
      </c>
      <c r="P62" s="75">
        <f>(E62-D62)/(2*C62)</f>
        <v>7.575757575757576E-2</v>
      </c>
      <c r="Q62" s="75">
        <f t="shared" si="27"/>
        <v>3.787878787878788E-2</v>
      </c>
      <c r="V62" s="23" t="s">
        <v>194</v>
      </c>
      <c r="W62" s="19" t="s">
        <v>195</v>
      </c>
      <c r="X62" s="20">
        <v>2004</v>
      </c>
      <c r="Y62" s="23" t="s">
        <v>54</v>
      </c>
      <c r="Z62" s="19" t="s">
        <v>127</v>
      </c>
      <c r="AA62" s="19">
        <v>1.1200000000000001</v>
      </c>
      <c r="AB62" s="19">
        <v>100</v>
      </c>
      <c r="AE62" s="19" t="s">
        <v>72</v>
      </c>
      <c r="AG62" s="23">
        <v>1000</v>
      </c>
      <c r="AL62" s="19" t="s">
        <v>115</v>
      </c>
      <c r="AM62" s="20">
        <v>0</v>
      </c>
    </row>
    <row r="63" spans="1:39">
      <c r="A63" s="70">
        <f>+K63*H63*0.000000000001</f>
        <v>0.48</v>
      </c>
      <c r="B63" s="70">
        <f t="shared" si="26"/>
        <v>0.25624999999999998</v>
      </c>
      <c r="C63" s="74">
        <f>(D63+E63)/2</f>
        <v>205</v>
      </c>
      <c r="D63" s="73">
        <f>0.00000019*1000000000</f>
        <v>190</v>
      </c>
      <c r="E63" s="29">
        <f>0.00000022*1000000000</f>
        <v>220</v>
      </c>
      <c r="F63" s="27">
        <v>1</v>
      </c>
      <c r="G63" s="19">
        <v>800</v>
      </c>
      <c r="H63" s="21">
        <v>0.12</v>
      </c>
      <c r="K63" s="71">
        <v>4000000000000</v>
      </c>
      <c r="L63" s="19">
        <v>60000</v>
      </c>
      <c r="M63" s="21">
        <f>K63*L63</f>
        <v>2.4E+17</v>
      </c>
      <c r="O63" s="173">
        <f t="shared" si="30"/>
        <v>7.5</v>
      </c>
      <c r="P63" s="75">
        <f>(E63-D63)/(2*C63)</f>
        <v>7.3170731707317069E-2</v>
      </c>
      <c r="Q63" s="75">
        <f t="shared" si="27"/>
        <v>3.6585365853658534E-2</v>
      </c>
      <c r="V63" s="23" t="s">
        <v>194</v>
      </c>
      <c r="W63" s="19" t="s">
        <v>195</v>
      </c>
      <c r="X63" s="20">
        <v>2004</v>
      </c>
      <c r="Y63" s="23" t="s">
        <v>54</v>
      </c>
      <c r="Z63" s="19" t="s">
        <v>127</v>
      </c>
      <c r="AA63" s="19">
        <v>1.1200000000000001</v>
      </c>
      <c r="AB63" s="19">
        <v>100</v>
      </c>
      <c r="AE63" s="19" t="s">
        <v>72</v>
      </c>
      <c r="AG63" s="23">
        <v>1000</v>
      </c>
      <c r="AL63" s="19" t="s">
        <v>115</v>
      </c>
      <c r="AM63" s="20">
        <v>90</v>
      </c>
    </row>
    <row r="64" spans="1:39" ht="15" hidden="1" customHeight="1">
      <c r="G64" s="19">
        <v>800</v>
      </c>
      <c r="H64" s="21">
        <v>0.17</v>
      </c>
      <c r="Q64" s="75">
        <f t="shared" si="5"/>
        <v>0</v>
      </c>
      <c r="V64" s="23" t="s">
        <v>197</v>
      </c>
      <c r="W64" s="19" t="s">
        <v>198</v>
      </c>
      <c r="X64" s="20">
        <v>2010</v>
      </c>
      <c r="Y64" s="23" t="s">
        <v>199</v>
      </c>
      <c r="AA64" s="19">
        <v>8</v>
      </c>
      <c r="AM64" s="20">
        <v>90</v>
      </c>
    </row>
    <row r="65" spans="1:39" ht="15" hidden="1" customHeight="1">
      <c r="A65" s="70">
        <v>8.1999999999999993</v>
      </c>
      <c r="B65" s="70">
        <f>C65/G65</f>
        <v>3.064516129032258</v>
      </c>
      <c r="C65" s="74">
        <f>(E65+D65)/2/F65</f>
        <v>760</v>
      </c>
      <c r="D65" s="81">
        <v>710</v>
      </c>
      <c r="E65" s="26">
        <v>810</v>
      </c>
      <c r="F65" s="27">
        <v>1</v>
      </c>
      <c r="G65" s="19">
        <v>248</v>
      </c>
      <c r="H65" s="19">
        <v>0.5</v>
      </c>
      <c r="K65" s="71">
        <f>0.0001*A65*10000/(H65*0.000000000001)</f>
        <v>16399999999999.998</v>
      </c>
      <c r="L65" s="19">
        <v>70</v>
      </c>
      <c r="M65" s="57">
        <f>K65*L65</f>
        <v>1147999999999999.7</v>
      </c>
      <c r="N65" s="72">
        <f>A65*L65</f>
        <v>574</v>
      </c>
      <c r="P65" s="75">
        <f>(E65-D65)/F65/C65</f>
        <v>0.13157894736842105</v>
      </c>
      <c r="Q65" s="75">
        <f t="shared" si="5"/>
        <v>6.5789473684210523E-2</v>
      </c>
      <c r="V65" s="23" t="s">
        <v>129</v>
      </c>
      <c r="W65" s="19" t="s">
        <v>201</v>
      </c>
      <c r="X65" s="20">
        <v>1992</v>
      </c>
      <c r="Y65" s="23" t="s">
        <v>199</v>
      </c>
      <c r="AA65" s="19">
        <v>8</v>
      </c>
      <c r="AE65" s="19" t="s">
        <v>89</v>
      </c>
      <c r="AJ65" s="19">
        <v>0</v>
      </c>
      <c r="AK65" s="19" t="s">
        <v>26</v>
      </c>
      <c r="AL65" s="19" t="s">
        <v>26</v>
      </c>
      <c r="AM65" s="20" t="s">
        <v>26</v>
      </c>
    </row>
    <row r="66" spans="1:39" hidden="1">
      <c r="A66" s="70">
        <v>0.24</v>
      </c>
      <c r="B66" s="70">
        <f>C66/G66</f>
        <v>0.19874999999999995</v>
      </c>
      <c r="C66" s="74">
        <f>1000000000*(D66+E66)/2</f>
        <v>158.99999999999997</v>
      </c>
      <c r="D66" s="73">
        <v>1.55E-7</v>
      </c>
      <c r="E66" s="29">
        <v>1.6299999999999999E-7</v>
      </c>
      <c r="F66" s="27">
        <v>10</v>
      </c>
      <c r="G66" s="19">
        <v>800</v>
      </c>
      <c r="H66" s="19">
        <v>0.13</v>
      </c>
      <c r="K66" s="71">
        <f>A66/(H66*0.000000000001)</f>
        <v>1846153846153.8459</v>
      </c>
      <c r="L66" s="19">
        <v>5</v>
      </c>
      <c r="M66" s="19">
        <f>K66*L66</f>
        <v>9230769230769.2305</v>
      </c>
      <c r="P66" s="75">
        <f>(E66-D66)/F66/(C66*0.000000001)</f>
        <v>5.0314465408804986E-3</v>
      </c>
      <c r="Q66" s="75">
        <f t="shared" si="5"/>
        <v>2.5157232704402493E-3</v>
      </c>
      <c r="V66" s="23" t="s">
        <v>55</v>
      </c>
      <c r="W66" s="19" t="s">
        <v>202</v>
      </c>
      <c r="X66" s="20">
        <v>2005</v>
      </c>
      <c r="Y66" s="23" t="s">
        <v>52</v>
      </c>
      <c r="Z66" s="19" t="s">
        <v>127</v>
      </c>
      <c r="AE66" s="19" t="s">
        <v>89</v>
      </c>
      <c r="AL66" s="19" t="s">
        <v>115</v>
      </c>
      <c r="AM66" s="20">
        <v>0</v>
      </c>
    </row>
  </sheetData>
  <autoFilter ref="A1:AO66">
    <filterColumn colId="1">
      <customFilters>
        <customFilter operator="notEqual" val=" "/>
      </customFilters>
    </filterColumn>
    <filterColumn colId="7">
      <filters>
        <filter val="0,045"/>
        <filter val="0,08"/>
        <filter val="0,09"/>
        <filter val="0,1"/>
        <filter val="0,12"/>
        <filter val="0,13"/>
        <filter val="0,15"/>
        <filter val="0,19"/>
        <filter val="0,2"/>
        <filter val="0,38"/>
        <filter val="0,5"/>
        <filter val="1,00E-01"/>
        <filter val="1,20E-01"/>
        <filter val="1,50E-01"/>
        <filter val="1,70E-01"/>
        <filter val="4,50E-02"/>
        <filter val="5,00E-03"/>
      </filters>
    </filterColumn>
    <filterColumn colId="24">
      <filters>
        <filter val="Si"/>
      </filters>
    </filterColumn>
  </autoFilter>
  <sortState ref="A6:AO63">
    <sortCondition ref="L2:L66"/>
    <sortCondition ref="V2:V66"/>
    <sortCondition ref="Y2:Y66"/>
    <sortCondition ref="B2:B6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AX115"/>
  <sheetViews>
    <sheetView topLeftCell="A2" zoomScale="70" zoomScaleNormal="70" workbookViewId="0">
      <pane ySplit="390" activePane="bottomLeft"/>
      <selection activeCell="F2" sqref="F1:F1048576"/>
      <selection pane="bottomLeft" activeCell="C4" sqref="A1:AJ89"/>
    </sheetView>
  </sheetViews>
  <sheetFormatPr baseColWidth="10" defaultRowHeight="15"/>
  <cols>
    <col min="1" max="1" width="20.85546875" style="19" bestFit="1" customWidth="1"/>
    <col min="2" max="7" width="20.85546875" style="19" customWidth="1"/>
    <col min="8" max="8" width="24.5703125" style="19" customWidth="1"/>
    <col min="9" max="9" width="8.7109375" style="19" customWidth="1"/>
    <col min="10" max="10" width="16.7109375" style="19" customWidth="1"/>
    <col min="11" max="11" width="11" style="19" bestFit="1" customWidth="1"/>
    <col min="12" max="12" width="9.7109375" style="19" bestFit="1" customWidth="1"/>
    <col min="13" max="13" width="11.5703125" style="19" bestFit="1" customWidth="1"/>
    <col min="14" max="14" width="10" style="19" bestFit="1" customWidth="1"/>
    <col min="15" max="17" width="10" style="19" customWidth="1"/>
    <col min="18" max="18" width="20.140625" style="19" bestFit="1" customWidth="1"/>
    <col min="19" max="19" width="16.5703125" style="19" bestFit="1" customWidth="1"/>
    <col min="20" max="20" width="27.7109375" style="19" bestFit="1" customWidth="1"/>
    <col min="21" max="21" width="29.7109375" style="19" bestFit="1" customWidth="1"/>
    <col min="22" max="22" width="52.5703125" style="23" bestFit="1" customWidth="1"/>
    <col min="23" max="23" width="24.28515625" style="23" bestFit="1" customWidth="1"/>
    <col min="24" max="24" width="11.85546875" style="81" bestFit="1" customWidth="1"/>
    <col min="25" max="25" width="23.5703125" style="26" bestFit="1" customWidth="1"/>
    <col min="26" max="26" width="14.42578125" style="19" bestFit="1" customWidth="1"/>
    <col min="27" max="27" width="10.85546875" style="19" bestFit="1" customWidth="1"/>
    <col min="28" max="28" width="11.85546875" style="20" bestFit="1" customWidth="1"/>
    <col min="29" max="29" width="23.7109375" style="19" bestFit="1" customWidth="1"/>
    <col min="30" max="30" width="12.28515625" style="29" bestFit="1" customWidth="1"/>
    <col min="31" max="31" width="12.85546875" style="29" bestFit="1" customWidth="1"/>
    <col min="32" max="32" width="10.5703125" style="21" bestFit="1" customWidth="1"/>
    <col min="33" max="33" width="11.28515625" style="21" bestFit="1" customWidth="1"/>
    <col min="34" max="34" width="11.85546875" style="22" bestFit="1" customWidth="1"/>
    <col min="35" max="35" width="35.7109375" style="19" bestFit="1" customWidth="1"/>
    <col min="36" max="36" width="42" style="19" bestFit="1" customWidth="1"/>
    <col min="37" max="38" width="11.42578125" style="19"/>
    <col min="39" max="39" width="17.85546875" style="19" customWidth="1"/>
    <col min="40" max="40" width="11.42578125" style="19"/>
    <col min="41" max="41" width="25.7109375" style="19" bestFit="1" customWidth="1"/>
    <col min="42" max="16384" width="11.42578125" style="19"/>
  </cols>
  <sheetData>
    <row r="1" spans="1:50" s="25" customFormat="1">
      <c r="A1" s="40" t="s">
        <v>8</v>
      </c>
      <c r="B1" s="41" t="s">
        <v>200</v>
      </c>
      <c r="C1" s="41" t="s">
        <v>149</v>
      </c>
      <c r="D1" s="41" t="s">
        <v>2</v>
      </c>
      <c r="E1" s="41" t="s">
        <v>3</v>
      </c>
      <c r="F1" s="41" t="s">
        <v>227</v>
      </c>
      <c r="G1" s="41" t="s">
        <v>222</v>
      </c>
      <c r="H1" s="41" t="s">
        <v>225</v>
      </c>
      <c r="I1" s="41" t="s">
        <v>37</v>
      </c>
      <c r="J1" s="41" t="s">
        <v>183</v>
      </c>
      <c r="K1" s="40" t="s">
        <v>97</v>
      </c>
      <c r="L1" s="41" t="s">
        <v>96</v>
      </c>
      <c r="M1" s="41" t="s">
        <v>43</v>
      </c>
      <c r="N1" s="41" t="s">
        <v>66</v>
      </c>
      <c r="O1" s="41" t="s">
        <v>141</v>
      </c>
      <c r="P1" s="41" t="s">
        <v>148</v>
      </c>
      <c r="Q1" s="41" t="s">
        <v>147</v>
      </c>
      <c r="R1" s="41" t="s">
        <v>11</v>
      </c>
      <c r="S1" s="41" t="s">
        <v>12</v>
      </c>
      <c r="T1" s="41" t="s">
        <v>100</v>
      </c>
      <c r="U1" s="41" t="s">
        <v>101</v>
      </c>
      <c r="V1" s="40" t="s">
        <v>99</v>
      </c>
      <c r="W1" s="40" t="s">
        <v>98</v>
      </c>
      <c r="X1" s="121" t="s">
        <v>29</v>
      </c>
      <c r="Y1" s="42" t="s">
        <v>30</v>
      </c>
      <c r="Z1" s="41" t="s">
        <v>2</v>
      </c>
      <c r="AA1" s="43" t="s">
        <v>3</v>
      </c>
      <c r="AB1" s="43" t="s">
        <v>16</v>
      </c>
      <c r="AC1" s="43" t="s">
        <v>94</v>
      </c>
      <c r="AD1" s="44" t="s">
        <v>0</v>
      </c>
      <c r="AE1" s="45" t="s">
        <v>1</v>
      </c>
      <c r="AF1" s="46" t="s">
        <v>2</v>
      </c>
      <c r="AG1" s="46" t="s">
        <v>3</v>
      </c>
      <c r="AH1" s="47" t="s">
        <v>16</v>
      </c>
      <c r="AI1" s="41" t="s">
        <v>10</v>
      </c>
      <c r="AJ1" s="43" t="s">
        <v>7</v>
      </c>
      <c r="AM1" s="41" t="s">
        <v>106</v>
      </c>
      <c r="AN1" s="25" t="s">
        <v>84</v>
      </c>
      <c r="AO1" s="40" t="s">
        <v>6</v>
      </c>
      <c r="AP1" s="25" t="s">
        <v>196</v>
      </c>
    </row>
    <row r="2" spans="1:50" ht="15" customHeight="1">
      <c r="A2" s="31">
        <v>1.1499999999999999</v>
      </c>
      <c r="B2" s="21">
        <f>C2/J2</f>
        <v>1.0083333333333335</v>
      </c>
      <c r="C2" s="19">
        <f t="shared" ref="C2:C33" si="0">1000000000*D2</f>
        <v>806.66666666666674</v>
      </c>
      <c r="D2" s="21">
        <v>8.0666666666666674E-7</v>
      </c>
      <c r="E2" s="21">
        <v>3.1666666666666646E-8</v>
      </c>
      <c r="F2" s="21">
        <f>E2/2</f>
        <v>1.5833333333333323E-8</v>
      </c>
      <c r="G2" s="171">
        <f>E2/D2</f>
        <v>3.9256198347107411E-2</v>
      </c>
      <c r="H2" s="171">
        <f>G2/2</f>
        <v>1.9628099173553706E-2</v>
      </c>
      <c r="I2" s="19">
        <v>1</v>
      </c>
      <c r="J2" s="21">
        <f t="shared" ref="J2:J33" si="1">1000000000*K2</f>
        <v>800</v>
      </c>
      <c r="K2" s="31">
        <v>7.9999999999999996E-7</v>
      </c>
      <c r="L2" s="57">
        <v>1E-13</v>
      </c>
      <c r="M2" s="57">
        <f t="shared" ref="M2:M33" si="2">L2*1000000000000</f>
        <v>0.1</v>
      </c>
      <c r="N2" s="19" t="s">
        <v>89</v>
      </c>
      <c r="O2" s="19" t="s">
        <v>145</v>
      </c>
      <c r="P2" s="21">
        <v>3.3699999999999999E-5</v>
      </c>
      <c r="Q2" s="128">
        <f>P2*1000000</f>
        <v>33.699999999999996</v>
      </c>
      <c r="R2" s="19">
        <v>0</v>
      </c>
      <c r="S2" s="19" t="s">
        <v>13</v>
      </c>
      <c r="T2" s="31">
        <f t="shared" ref="T2:T33" si="3">A2/L2</f>
        <v>11499999999999.998</v>
      </c>
      <c r="U2" s="31">
        <f t="shared" ref="U2:U33" si="4">I2*T2</f>
        <v>11499999999999.998</v>
      </c>
      <c r="V2" s="32">
        <f t="shared" ref="V2:V33" si="5">I2*A2</f>
        <v>1.1499999999999999</v>
      </c>
      <c r="W2" s="23">
        <f t="shared" ref="W2:W45" si="6">AF2/K2</f>
        <v>1.0083333333333335</v>
      </c>
      <c r="AC2" s="19">
        <v>6</v>
      </c>
      <c r="AD2" s="29">
        <v>4.6500000000000004E-6</v>
      </c>
      <c r="AE2" s="29">
        <v>5.0300000000000001E-6</v>
      </c>
      <c r="AF2" s="21">
        <f>(AE2+AD2)/(2*AC2)</f>
        <v>8.0666666666666674E-7</v>
      </c>
      <c r="AG2" s="21">
        <f t="shared" ref="AG2:AG45" si="7">(AE2-AD2)/(2*AC2)</f>
        <v>3.1666666666666646E-8</v>
      </c>
      <c r="AH2" s="22">
        <f t="shared" ref="AH2:AH45" si="8">AG2/AF2</f>
        <v>3.9256198347107411E-2</v>
      </c>
      <c r="AI2" s="19" t="s">
        <v>143</v>
      </c>
      <c r="AJ2" s="19" t="s">
        <v>144</v>
      </c>
      <c r="AM2" s="19" t="s">
        <v>54</v>
      </c>
      <c r="AN2" s="105" t="s">
        <v>86</v>
      </c>
      <c r="AO2" s="55">
        <v>40345</v>
      </c>
      <c r="AP2" s="21">
        <f>D2/K2</f>
        <v>1.0083333333333335</v>
      </c>
    </row>
    <row r="3" spans="1:50" ht="15" customHeight="1">
      <c r="A3" s="31">
        <v>1.2</v>
      </c>
      <c r="B3" s="21">
        <f t="shared" ref="B3:B44" si="9">C3/J3</f>
        <v>1.0299999999999998</v>
      </c>
      <c r="C3" s="19">
        <f t="shared" si="0"/>
        <v>823.99999999999989</v>
      </c>
      <c r="D3" s="21">
        <v>8.2399999999999986E-7</v>
      </c>
      <c r="E3" s="21">
        <v>4.7999999999999967E-8</v>
      </c>
      <c r="F3" s="21">
        <f>E3/2</f>
        <v>2.3999999999999983E-8</v>
      </c>
      <c r="G3" s="171">
        <f t="shared" ref="G3:G44" si="10">E3/D3</f>
        <v>5.8252427184465987E-2</v>
      </c>
      <c r="H3" s="171">
        <f>G3/2</f>
        <v>2.9126213592232993E-2</v>
      </c>
      <c r="I3" s="19">
        <v>1</v>
      </c>
      <c r="J3" s="21">
        <f t="shared" si="1"/>
        <v>800</v>
      </c>
      <c r="K3" s="31">
        <v>7.9999999999999996E-7</v>
      </c>
      <c r="L3" s="57">
        <v>1E-13</v>
      </c>
      <c r="M3" s="57">
        <f t="shared" si="2"/>
        <v>0.1</v>
      </c>
      <c r="N3" s="19" t="s">
        <v>89</v>
      </c>
      <c r="O3" s="19" t="s">
        <v>145</v>
      </c>
      <c r="P3" s="21">
        <v>3.3699999999999999E-5</v>
      </c>
      <c r="Q3" s="128">
        <f>P3*1000000</f>
        <v>33.699999999999996</v>
      </c>
      <c r="R3" s="19">
        <v>0</v>
      </c>
      <c r="S3" s="19" t="s">
        <v>13</v>
      </c>
      <c r="T3" s="31">
        <f t="shared" si="3"/>
        <v>12000000000000</v>
      </c>
      <c r="U3" s="31">
        <f t="shared" si="4"/>
        <v>12000000000000</v>
      </c>
      <c r="V3" s="32">
        <f t="shared" si="5"/>
        <v>1.2</v>
      </c>
      <c r="W3" s="23">
        <f t="shared" si="6"/>
        <v>1.0299999999999998</v>
      </c>
      <c r="AC3" s="19">
        <v>5</v>
      </c>
      <c r="AD3" s="29">
        <v>3.8800000000000001E-6</v>
      </c>
      <c r="AE3" s="29">
        <v>4.3599999999999998E-6</v>
      </c>
      <c r="AF3" s="21">
        <f>(AE3+AD3)/(2*AC3)</f>
        <v>8.2399999999999986E-7</v>
      </c>
      <c r="AG3" s="21">
        <f t="shared" si="7"/>
        <v>4.7999999999999967E-8</v>
      </c>
      <c r="AH3" s="22">
        <f t="shared" si="8"/>
        <v>5.8252427184465987E-2</v>
      </c>
      <c r="AI3" s="19" t="s">
        <v>143</v>
      </c>
      <c r="AJ3" s="19" t="s">
        <v>144</v>
      </c>
      <c r="AM3" s="19" t="s">
        <v>54</v>
      </c>
      <c r="AN3" s="105" t="s">
        <v>86</v>
      </c>
      <c r="AO3" s="23"/>
      <c r="AP3" s="21">
        <f t="shared" ref="AP3:AP44" si="11">D3/K3</f>
        <v>1.0299999999999998</v>
      </c>
    </row>
    <row r="4" spans="1:50" ht="15" customHeight="1">
      <c r="A4" s="23">
        <v>0.1</v>
      </c>
      <c r="B4" s="21">
        <f t="shared" si="9"/>
        <v>0.94464285714285712</v>
      </c>
      <c r="C4" s="19">
        <f t="shared" si="0"/>
        <v>755.71428571428567</v>
      </c>
      <c r="D4" s="19">
        <v>7.5571428571428569E-7</v>
      </c>
      <c r="E4" s="19">
        <v>3.9999999999999981E-8</v>
      </c>
      <c r="G4" s="171">
        <f t="shared" si="10"/>
        <v>5.2930056710775025E-2</v>
      </c>
      <c r="H4" s="171"/>
      <c r="I4" s="56">
        <v>2</v>
      </c>
      <c r="J4" s="21">
        <f t="shared" si="1"/>
        <v>800</v>
      </c>
      <c r="K4" s="31">
        <v>7.9999999999999996E-7</v>
      </c>
      <c r="L4" s="57">
        <v>1E-13</v>
      </c>
      <c r="M4" s="57">
        <f t="shared" si="2"/>
        <v>0.1</v>
      </c>
      <c r="N4" s="19" t="s">
        <v>89</v>
      </c>
      <c r="R4" s="19">
        <v>0</v>
      </c>
      <c r="S4" s="19" t="s">
        <v>13</v>
      </c>
      <c r="T4" s="31">
        <f t="shared" si="3"/>
        <v>1000000000000</v>
      </c>
      <c r="U4" s="31">
        <f t="shared" si="4"/>
        <v>2000000000000</v>
      </c>
      <c r="V4" s="32">
        <f t="shared" si="5"/>
        <v>0.2</v>
      </c>
      <c r="W4" s="31">
        <f t="shared" si="6"/>
        <v>0.94464285714285712</v>
      </c>
      <c r="AC4" s="19">
        <v>7</v>
      </c>
      <c r="AD4" s="29">
        <v>5.0100000000000003E-6</v>
      </c>
      <c r="AE4" s="29">
        <v>5.57E-6</v>
      </c>
      <c r="AF4" s="21">
        <f>(AE4+AD4)/(2*AC4)</f>
        <v>7.5571428571428569E-7</v>
      </c>
      <c r="AG4" s="21">
        <f t="shared" si="7"/>
        <v>3.9999999999999981E-8</v>
      </c>
      <c r="AH4" s="22">
        <f t="shared" si="8"/>
        <v>5.2930056710775025E-2</v>
      </c>
      <c r="AI4" s="58" t="s">
        <v>93</v>
      </c>
      <c r="AO4" s="55">
        <v>40389</v>
      </c>
      <c r="AP4" s="21">
        <f t="shared" si="11"/>
        <v>0.94464285714285712</v>
      </c>
    </row>
    <row r="5" spans="1:50" ht="15" customHeight="1">
      <c r="A5" s="23">
        <v>0.2</v>
      </c>
      <c r="B5" s="21">
        <f t="shared" si="9"/>
        <v>0.87968749999999996</v>
      </c>
      <c r="C5" s="19">
        <f t="shared" si="0"/>
        <v>703.75</v>
      </c>
      <c r="D5" s="19">
        <v>7.0375000000000004E-7</v>
      </c>
      <c r="E5" s="19">
        <v>4.4999999999999993E-8</v>
      </c>
      <c r="G5" s="171">
        <f t="shared" si="10"/>
        <v>6.3943161634103005E-2</v>
      </c>
      <c r="H5" s="171"/>
      <c r="I5" s="56">
        <v>2</v>
      </c>
      <c r="J5" s="21">
        <f t="shared" si="1"/>
        <v>800</v>
      </c>
      <c r="K5" s="31">
        <v>7.9999999999999996E-7</v>
      </c>
      <c r="L5" s="57">
        <v>1E-13</v>
      </c>
      <c r="M5" s="57">
        <f t="shared" si="2"/>
        <v>0.1</v>
      </c>
      <c r="N5" s="19" t="s">
        <v>89</v>
      </c>
      <c r="R5" s="19">
        <v>0</v>
      </c>
      <c r="S5" s="19" t="s">
        <v>13</v>
      </c>
      <c r="T5" s="31">
        <f t="shared" si="3"/>
        <v>2000000000000</v>
      </c>
      <c r="U5" s="31">
        <f t="shared" si="4"/>
        <v>4000000000000</v>
      </c>
      <c r="V5" s="32">
        <f t="shared" si="5"/>
        <v>0.4</v>
      </c>
      <c r="W5" s="31">
        <f t="shared" si="6"/>
        <v>0.87968750000000007</v>
      </c>
      <c r="AC5" s="19">
        <v>16</v>
      </c>
      <c r="AD5" s="29">
        <v>1.0540000000000001E-5</v>
      </c>
      <c r="AE5" s="29">
        <v>1.198E-5</v>
      </c>
      <c r="AF5" s="21">
        <f>(AD5+AE5)/(2*AC5)</f>
        <v>7.0375000000000004E-7</v>
      </c>
      <c r="AG5" s="21">
        <f t="shared" si="7"/>
        <v>4.4999999999999993E-8</v>
      </c>
      <c r="AH5" s="22">
        <f t="shared" si="8"/>
        <v>6.3943161634103005E-2</v>
      </c>
      <c r="AI5" s="58" t="s">
        <v>93</v>
      </c>
      <c r="AO5" s="55">
        <v>40389</v>
      </c>
      <c r="AP5" s="21">
        <f t="shared" si="11"/>
        <v>0.87968750000000007</v>
      </c>
    </row>
    <row r="6" spans="1:50" ht="15" customHeight="1">
      <c r="A6" s="23">
        <v>0.5</v>
      </c>
      <c r="B6" s="21">
        <f t="shared" si="9"/>
        <v>0.94444444444444453</v>
      </c>
      <c r="C6" s="19">
        <f t="shared" si="0"/>
        <v>755.55555555555566</v>
      </c>
      <c r="D6" s="19">
        <v>7.5555555555555562E-7</v>
      </c>
      <c r="E6" s="19">
        <v>3.7777777777777794E-8</v>
      </c>
      <c r="G6" s="171">
        <f t="shared" si="10"/>
        <v>5.0000000000000017E-2</v>
      </c>
      <c r="H6" s="171"/>
      <c r="I6" s="56">
        <v>2</v>
      </c>
      <c r="J6" s="21">
        <f t="shared" si="1"/>
        <v>800</v>
      </c>
      <c r="K6" s="31">
        <v>7.9999999999999996E-7</v>
      </c>
      <c r="L6" s="57">
        <v>1E-13</v>
      </c>
      <c r="M6" s="57">
        <f t="shared" si="2"/>
        <v>0.1</v>
      </c>
      <c r="N6" s="19" t="s">
        <v>89</v>
      </c>
      <c r="R6" s="19">
        <v>0</v>
      </c>
      <c r="S6" s="19" t="s">
        <v>13</v>
      </c>
      <c r="T6" s="31">
        <f t="shared" si="3"/>
        <v>5000000000000</v>
      </c>
      <c r="U6" s="31">
        <f t="shared" si="4"/>
        <v>10000000000000</v>
      </c>
      <c r="V6" s="32">
        <f t="shared" si="5"/>
        <v>1</v>
      </c>
      <c r="W6" s="31">
        <f t="shared" si="6"/>
        <v>0.94444444444444453</v>
      </c>
      <c r="AC6" s="19">
        <v>9</v>
      </c>
      <c r="AD6" s="29">
        <v>6.46E-6</v>
      </c>
      <c r="AE6" s="29">
        <v>7.1400000000000002E-6</v>
      </c>
      <c r="AF6" s="21">
        <f t="shared" ref="AF6:AF45" si="12">(AE6+AD6)/(2*AC6)</f>
        <v>7.5555555555555562E-7</v>
      </c>
      <c r="AG6" s="21">
        <f t="shared" si="7"/>
        <v>3.7777777777777794E-8</v>
      </c>
      <c r="AH6" s="22">
        <f t="shared" si="8"/>
        <v>5.0000000000000017E-2</v>
      </c>
      <c r="AI6" s="58" t="s">
        <v>93</v>
      </c>
      <c r="AO6" s="55">
        <v>40389</v>
      </c>
      <c r="AP6" s="21">
        <f t="shared" si="11"/>
        <v>0.94444444444444453</v>
      </c>
    </row>
    <row r="7" spans="1:50" ht="15" customHeight="1">
      <c r="A7" s="23">
        <v>0.8</v>
      </c>
      <c r="B7" s="21">
        <f t="shared" si="9"/>
        <v>0.94652777777777786</v>
      </c>
      <c r="C7" s="19">
        <f t="shared" si="0"/>
        <v>757.22222222222229</v>
      </c>
      <c r="D7" s="19">
        <v>7.5722222222222223E-7</v>
      </c>
      <c r="E7" s="19">
        <v>3.6111111111111139E-8</v>
      </c>
      <c r="F7" s="21">
        <f t="shared" ref="F7:F44" si="13">E7/2</f>
        <v>1.8055555555555569E-8</v>
      </c>
      <c r="G7" s="171">
        <f t="shared" si="10"/>
        <v>4.7688921496698497E-2</v>
      </c>
      <c r="H7" s="171">
        <f t="shared" ref="H7:H70" si="14">G7/2</f>
        <v>2.3844460748349249E-2</v>
      </c>
      <c r="I7" s="56">
        <v>2</v>
      </c>
      <c r="J7" s="21">
        <f t="shared" si="1"/>
        <v>800</v>
      </c>
      <c r="K7" s="31">
        <v>7.9999999999999996E-7</v>
      </c>
      <c r="L7" s="57">
        <v>1E-13</v>
      </c>
      <c r="M7" s="57">
        <f t="shared" si="2"/>
        <v>0.1</v>
      </c>
      <c r="N7" s="19" t="s">
        <v>89</v>
      </c>
      <c r="R7" s="19">
        <v>0</v>
      </c>
      <c r="S7" s="19" t="s">
        <v>13</v>
      </c>
      <c r="T7" s="31">
        <f t="shared" si="3"/>
        <v>8000000000000</v>
      </c>
      <c r="U7" s="31">
        <f t="shared" si="4"/>
        <v>16000000000000</v>
      </c>
      <c r="V7" s="32">
        <f t="shared" si="5"/>
        <v>1.6</v>
      </c>
      <c r="W7" s="31">
        <f t="shared" si="6"/>
        <v>0.94652777777777786</v>
      </c>
      <c r="AC7" s="19">
        <v>9</v>
      </c>
      <c r="AD7" s="29">
        <v>6.4899999999999997E-6</v>
      </c>
      <c r="AE7" s="29">
        <v>7.1400000000000002E-6</v>
      </c>
      <c r="AF7" s="21">
        <f t="shared" si="12"/>
        <v>7.5722222222222223E-7</v>
      </c>
      <c r="AG7" s="21">
        <f t="shared" si="7"/>
        <v>3.6111111111111139E-8</v>
      </c>
      <c r="AH7" s="22">
        <f t="shared" si="8"/>
        <v>4.7688921496698497E-2</v>
      </c>
      <c r="AI7" s="58" t="s">
        <v>93</v>
      </c>
      <c r="AM7" s="25" t="s">
        <v>54</v>
      </c>
      <c r="AO7" s="55">
        <v>40389</v>
      </c>
      <c r="AP7" s="21">
        <f t="shared" si="11"/>
        <v>0.94652777777777786</v>
      </c>
    </row>
    <row r="8" spans="1:50" ht="15" customHeight="1">
      <c r="A8" s="23">
        <v>0.1</v>
      </c>
      <c r="B8" s="21">
        <f t="shared" si="9"/>
        <v>0.90989583333333324</v>
      </c>
      <c r="C8" s="19">
        <f t="shared" si="0"/>
        <v>727.91666666666663</v>
      </c>
      <c r="D8" s="19">
        <v>7.2791666666666665E-7</v>
      </c>
      <c r="E8" s="19">
        <v>2.1250000000000008E-8</v>
      </c>
      <c r="F8" s="21">
        <f t="shared" si="13"/>
        <v>1.0625000000000004E-8</v>
      </c>
      <c r="G8" s="171">
        <f t="shared" si="10"/>
        <v>2.919290211791644E-2</v>
      </c>
      <c r="H8" s="171">
        <f t="shared" si="14"/>
        <v>1.459645105895822E-2</v>
      </c>
      <c r="I8" s="56">
        <v>3</v>
      </c>
      <c r="J8" s="21">
        <f t="shared" si="1"/>
        <v>800</v>
      </c>
      <c r="K8" s="31">
        <v>7.9999999999999996E-7</v>
      </c>
      <c r="L8" s="57">
        <v>1E-13</v>
      </c>
      <c r="M8" s="57">
        <f t="shared" si="2"/>
        <v>0.1</v>
      </c>
      <c r="N8" s="19" t="s">
        <v>89</v>
      </c>
      <c r="R8" s="19">
        <v>0</v>
      </c>
      <c r="S8" s="19" t="s">
        <v>13</v>
      </c>
      <c r="T8" s="31">
        <f t="shared" si="3"/>
        <v>1000000000000</v>
      </c>
      <c r="U8" s="31">
        <f t="shared" si="4"/>
        <v>3000000000000</v>
      </c>
      <c r="V8" s="32">
        <f t="shared" si="5"/>
        <v>0.30000000000000004</v>
      </c>
      <c r="W8" s="31">
        <f t="shared" si="6"/>
        <v>0.90989583333333335</v>
      </c>
      <c r="AC8" s="19">
        <v>12</v>
      </c>
      <c r="AD8" s="29">
        <v>8.4800000000000001E-6</v>
      </c>
      <c r="AE8" s="29">
        <v>8.9900000000000003E-6</v>
      </c>
      <c r="AF8" s="21">
        <f t="shared" si="12"/>
        <v>7.2791666666666665E-7</v>
      </c>
      <c r="AG8" s="21">
        <f t="shared" si="7"/>
        <v>2.1250000000000008E-8</v>
      </c>
      <c r="AH8" s="22">
        <f t="shared" si="8"/>
        <v>2.919290211791644E-2</v>
      </c>
      <c r="AI8" s="58" t="s">
        <v>93</v>
      </c>
      <c r="AM8" s="19" t="s">
        <v>54</v>
      </c>
      <c r="AO8" s="55">
        <v>40389</v>
      </c>
      <c r="AP8" s="21">
        <f t="shared" si="11"/>
        <v>0.90989583333333335</v>
      </c>
    </row>
    <row r="9" spans="1:50" ht="15" customHeight="1">
      <c r="A9" s="23">
        <v>0.2</v>
      </c>
      <c r="B9" s="21">
        <f t="shared" si="9"/>
        <v>0.96302083333333333</v>
      </c>
      <c r="C9" s="19">
        <f t="shared" si="0"/>
        <v>770.41666666666663</v>
      </c>
      <c r="D9" s="19">
        <v>7.7041666666666667E-7</v>
      </c>
      <c r="E9" s="19">
        <v>1.4999999999999999E-8</v>
      </c>
      <c r="F9" s="21">
        <f t="shared" si="13"/>
        <v>7.4999999999999993E-9</v>
      </c>
      <c r="G9" s="171">
        <f t="shared" si="10"/>
        <v>1.9469983775013518E-2</v>
      </c>
      <c r="H9" s="171">
        <f t="shared" si="14"/>
        <v>9.7349918875067592E-3</v>
      </c>
      <c r="I9" s="56">
        <v>3</v>
      </c>
      <c r="J9" s="21">
        <f t="shared" si="1"/>
        <v>800</v>
      </c>
      <c r="K9" s="31">
        <v>7.9999999999999996E-7</v>
      </c>
      <c r="L9" s="57">
        <v>1E-13</v>
      </c>
      <c r="M9" s="57">
        <f t="shared" si="2"/>
        <v>0.1</v>
      </c>
      <c r="N9" s="19" t="s">
        <v>89</v>
      </c>
      <c r="R9" s="19">
        <v>0</v>
      </c>
      <c r="S9" s="19" t="s">
        <v>13</v>
      </c>
      <c r="T9" s="31">
        <f t="shared" si="3"/>
        <v>2000000000000</v>
      </c>
      <c r="U9" s="31">
        <f t="shared" si="4"/>
        <v>6000000000000</v>
      </c>
      <c r="V9" s="32">
        <f t="shared" si="5"/>
        <v>0.60000000000000009</v>
      </c>
      <c r="W9" s="31">
        <f t="shared" si="6"/>
        <v>0.96302083333333333</v>
      </c>
      <c r="AC9" s="19">
        <v>24</v>
      </c>
      <c r="AD9" s="29">
        <v>1.8130000000000001E-5</v>
      </c>
      <c r="AE9" s="29">
        <v>1.8850000000000001E-5</v>
      </c>
      <c r="AF9" s="21">
        <f t="shared" si="12"/>
        <v>7.7041666666666667E-7</v>
      </c>
      <c r="AG9" s="21">
        <f t="shared" si="7"/>
        <v>1.4999999999999999E-8</v>
      </c>
      <c r="AH9" s="22">
        <f t="shared" si="8"/>
        <v>1.9469983775013518E-2</v>
      </c>
      <c r="AI9" s="58" t="s">
        <v>93</v>
      </c>
      <c r="AM9" s="19" t="s">
        <v>54</v>
      </c>
      <c r="AO9" s="55">
        <v>40389</v>
      </c>
      <c r="AP9" s="21">
        <f t="shared" si="11"/>
        <v>0.96302083333333333</v>
      </c>
    </row>
    <row r="10" spans="1:50" ht="15" customHeight="1">
      <c r="A10" s="131">
        <v>0.313</v>
      </c>
      <c r="B10" s="21">
        <f t="shared" si="9"/>
        <v>0.9</v>
      </c>
      <c r="C10" s="132">
        <f t="shared" si="0"/>
        <v>720</v>
      </c>
      <c r="D10" s="71">
        <f>Z10</f>
        <v>7.1999999999999999E-7</v>
      </c>
      <c r="E10" s="71">
        <f>AA10</f>
        <v>7.9999999999999975E-8</v>
      </c>
      <c r="F10" s="21">
        <f t="shared" si="13"/>
        <v>3.9999999999999988E-8</v>
      </c>
      <c r="G10" s="171">
        <f t="shared" si="10"/>
        <v>0.11111111111111108</v>
      </c>
      <c r="H10" s="171">
        <f t="shared" si="14"/>
        <v>5.5555555555555539E-2</v>
      </c>
      <c r="I10" s="133">
        <v>3</v>
      </c>
      <c r="J10" s="21">
        <f t="shared" si="1"/>
        <v>800</v>
      </c>
      <c r="K10" s="134">
        <v>7.9999999999999996E-7</v>
      </c>
      <c r="L10" s="135">
        <v>1E-13</v>
      </c>
      <c r="M10" s="135">
        <f t="shared" si="2"/>
        <v>0.1</v>
      </c>
      <c r="N10" s="132" t="s">
        <v>95</v>
      </c>
      <c r="O10" s="132"/>
      <c r="P10" s="132"/>
      <c r="Q10" s="132"/>
      <c r="R10" s="132">
        <v>0</v>
      </c>
      <c r="S10" s="132" t="s">
        <v>13</v>
      </c>
      <c r="T10" s="134">
        <f t="shared" si="3"/>
        <v>3130000000000</v>
      </c>
      <c r="U10" s="134">
        <f t="shared" si="4"/>
        <v>9390000000000</v>
      </c>
      <c r="V10" s="136">
        <f t="shared" si="5"/>
        <v>0.93900000000000006</v>
      </c>
      <c r="W10" s="134">
        <f t="shared" si="6"/>
        <v>0.77500000000000002</v>
      </c>
      <c r="X10" s="134">
        <v>6.4000000000000001E-7</v>
      </c>
      <c r="Y10" s="71">
        <v>7.9999999999999996E-7</v>
      </c>
      <c r="Z10" s="21">
        <f>(X10+Y10)/2</f>
        <v>7.1999999999999999E-7</v>
      </c>
      <c r="AA10" s="21">
        <f>(Y10-X10)/2</f>
        <v>7.9999999999999975E-8</v>
      </c>
      <c r="AB10" s="116">
        <f>AA10/Z10</f>
        <v>0.11111111111111108</v>
      </c>
      <c r="AC10" s="133">
        <v>7</v>
      </c>
      <c r="AD10" s="71">
        <v>4.1899999999999997E-6</v>
      </c>
      <c r="AE10" s="71">
        <v>4.4900000000000002E-6</v>
      </c>
      <c r="AF10" s="71">
        <f t="shared" si="12"/>
        <v>6.1999999999999999E-7</v>
      </c>
      <c r="AG10" s="71">
        <f t="shared" si="7"/>
        <v>2.1428571428571465E-8</v>
      </c>
      <c r="AH10" s="138">
        <f t="shared" si="8"/>
        <v>3.4562211981566879E-2</v>
      </c>
      <c r="AI10" s="132" t="s">
        <v>18</v>
      </c>
      <c r="AJ10" s="132"/>
      <c r="AK10" s="132"/>
      <c r="AL10" s="132"/>
      <c r="AM10" s="19" t="s">
        <v>54</v>
      </c>
      <c r="AN10" s="132"/>
      <c r="AO10" s="140">
        <v>40245</v>
      </c>
      <c r="AP10" s="21">
        <f t="shared" si="11"/>
        <v>0.9</v>
      </c>
      <c r="AQ10" s="132"/>
      <c r="AR10" s="132"/>
      <c r="AS10" s="132"/>
      <c r="AT10" s="132"/>
      <c r="AU10" s="132"/>
      <c r="AV10" s="132"/>
      <c r="AW10" s="132"/>
      <c r="AX10" s="132"/>
    </row>
    <row r="11" spans="1:50" ht="15" customHeight="1">
      <c r="A11" s="23">
        <v>0.5</v>
      </c>
      <c r="B11" s="21">
        <f t="shared" si="9"/>
        <v>0.9902777777777777</v>
      </c>
      <c r="C11" s="19">
        <f t="shared" si="0"/>
        <v>792.22222222222217</v>
      </c>
      <c r="D11" s="19">
        <v>7.9222222222222221E-7</v>
      </c>
      <c r="E11" s="19">
        <v>8.8888888888888505E-9</v>
      </c>
      <c r="F11" s="21">
        <f t="shared" si="13"/>
        <v>4.4444444444444252E-9</v>
      </c>
      <c r="G11" s="171">
        <f t="shared" si="10"/>
        <v>1.1220196353436136E-2</v>
      </c>
      <c r="H11" s="171">
        <f t="shared" si="14"/>
        <v>5.6100981767180681E-3</v>
      </c>
      <c r="I11" s="19">
        <v>3</v>
      </c>
      <c r="J11" s="21">
        <f t="shared" si="1"/>
        <v>800</v>
      </c>
      <c r="K11" s="31">
        <v>7.9999999999999996E-7</v>
      </c>
      <c r="L11" s="57">
        <v>1E-13</v>
      </c>
      <c r="M11" s="57">
        <f t="shared" si="2"/>
        <v>0.1</v>
      </c>
      <c r="N11" s="19" t="s">
        <v>95</v>
      </c>
      <c r="R11" s="19">
        <v>0</v>
      </c>
      <c r="S11" s="19" t="s">
        <v>13</v>
      </c>
      <c r="T11" s="31">
        <f t="shared" si="3"/>
        <v>5000000000000</v>
      </c>
      <c r="U11" s="31">
        <f t="shared" si="4"/>
        <v>15000000000000</v>
      </c>
      <c r="V11" s="32">
        <f t="shared" si="5"/>
        <v>1.5</v>
      </c>
      <c r="W11" s="31">
        <f t="shared" si="6"/>
        <v>0.99027777777777781</v>
      </c>
      <c r="AC11" s="19">
        <f>9</f>
        <v>9</v>
      </c>
      <c r="AD11" s="29">
        <v>7.0500000000000003E-6</v>
      </c>
      <c r="AE11" s="29">
        <v>7.2099999999999996E-6</v>
      </c>
      <c r="AF11" s="21">
        <f t="shared" si="12"/>
        <v>7.9222222222222221E-7</v>
      </c>
      <c r="AG11" s="21">
        <f t="shared" si="7"/>
        <v>8.8888888888888505E-9</v>
      </c>
      <c r="AH11" s="22">
        <f t="shared" si="8"/>
        <v>1.1220196353436136E-2</v>
      </c>
      <c r="AI11" s="19" t="s">
        <v>4</v>
      </c>
      <c r="AJ11" s="19" t="s">
        <v>15</v>
      </c>
      <c r="AM11" s="25" t="s">
        <v>54</v>
      </c>
      <c r="AO11" s="55">
        <v>40330</v>
      </c>
      <c r="AP11" s="21">
        <f t="shared" si="11"/>
        <v>0.99027777777777781</v>
      </c>
    </row>
    <row r="12" spans="1:50" ht="15" customHeight="1">
      <c r="A12" s="23">
        <v>0.5</v>
      </c>
      <c r="B12" s="21">
        <f t="shared" si="9"/>
        <v>1.0125</v>
      </c>
      <c r="C12" s="19">
        <f t="shared" si="0"/>
        <v>810</v>
      </c>
      <c r="D12" s="19">
        <v>8.0999999999999997E-7</v>
      </c>
      <c r="E12" s="19">
        <v>3.4999999999999983E-8</v>
      </c>
      <c r="F12" s="21">
        <f t="shared" si="13"/>
        <v>1.7499999999999991E-8</v>
      </c>
      <c r="G12" s="171">
        <f t="shared" si="10"/>
        <v>4.3209876543209853E-2</v>
      </c>
      <c r="H12" s="171">
        <f t="shared" si="14"/>
        <v>2.1604938271604927E-2</v>
      </c>
      <c r="I12" s="56">
        <v>3</v>
      </c>
      <c r="J12" s="21">
        <f t="shared" si="1"/>
        <v>800</v>
      </c>
      <c r="K12" s="31">
        <v>7.9999999999999996E-7</v>
      </c>
      <c r="L12" s="57">
        <v>1E-13</v>
      </c>
      <c r="M12" s="57">
        <f t="shared" si="2"/>
        <v>0.1</v>
      </c>
      <c r="N12" s="19" t="s">
        <v>89</v>
      </c>
      <c r="R12" s="19">
        <v>0</v>
      </c>
      <c r="S12" s="19" t="s">
        <v>13</v>
      </c>
      <c r="T12" s="31">
        <f t="shared" si="3"/>
        <v>5000000000000</v>
      </c>
      <c r="U12" s="31">
        <f t="shared" si="4"/>
        <v>15000000000000</v>
      </c>
      <c r="V12" s="32">
        <f t="shared" si="5"/>
        <v>1.5</v>
      </c>
      <c r="W12" s="31">
        <f t="shared" si="6"/>
        <v>1.0125</v>
      </c>
      <c r="AC12" s="19">
        <v>8</v>
      </c>
      <c r="AD12" s="29">
        <v>6.1999999999999999E-6</v>
      </c>
      <c r="AE12" s="29">
        <v>6.7599999999999997E-6</v>
      </c>
      <c r="AF12" s="21">
        <f t="shared" si="12"/>
        <v>8.0999999999999997E-7</v>
      </c>
      <c r="AG12" s="21">
        <f t="shared" si="7"/>
        <v>3.4999999999999983E-8</v>
      </c>
      <c r="AH12" s="22">
        <f t="shared" si="8"/>
        <v>4.3209876543209853E-2</v>
      </c>
      <c r="AI12" s="58" t="s">
        <v>93</v>
      </c>
      <c r="AM12" s="19" t="s">
        <v>54</v>
      </c>
      <c r="AO12" s="55">
        <v>40389</v>
      </c>
      <c r="AP12" s="21">
        <f t="shared" si="11"/>
        <v>1.0125</v>
      </c>
    </row>
    <row r="13" spans="1:50" ht="15" customHeight="1">
      <c r="A13" s="23">
        <v>0.5</v>
      </c>
      <c r="B13" s="21">
        <f t="shared" si="9"/>
        <v>1.0018750000000001</v>
      </c>
      <c r="C13" s="19">
        <f t="shared" si="0"/>
        <v>801.50000000000011</v>
      </c>
      <c r="D13" s="19">
        <v>8.0150000000000008E-7</v>
      </c>
      <c r="E13" s="19">
        <v>9.9999999999999886E-9</v>
      </c>
      <c r="F13" s="21">
        <f t="shared" si="13"/>
        <v>4.9999999999999943E-9</v>
      </c>
      <c r="G13" s="171">
        <f t="shared" si="10"/>
        <v>1.247660636306923E-2</v>
      </c>
      <c r="H13" s="171">
        <f t="shared" si="14"/>
        <v>6.2383031815346152E-3</v>
      </c>
      <c r="I13" s="56">
        <v>3</v>
      </c>
      <c r="J13" s="21">
        <f t="shared" si="1"/>
        <v>800</v>
      </c>
      <c r="K13" s="31">
        <v>7.9999999999999996E-7</v>
      </c>
      <c r="L13" s="57">
        <v>1E-13</v>
      </c>
      <c r="M13" s="56">
        <f t="shared" si="2"/>
        <v>0.1</v>
      </c>
      <c r="N13" s="19" t="s">
        <v>95</v>
      </c>
      <c r="R13" s="19">
        <v>0</v>
      </c>
      <c r="S13" s="19" t="s">
        <v>13</v>
      </c>
      <c r="T13" s="23">
        <f t="shared" si="3"/>
        <v>5000000000000</v>
      </c>
      <c r="U13" s="23">
        <f t="shared" si="4"/>
        <v>15000000000000</v>
      </c>
      <c r="V13" s="23">
        <f t="shared" si="5"/>
        <v>1.5</v>
      </c>
      <c r="W13" s="31">
        <f t="shared" si="6"/>
        <v>1.0018750000000001</v>
      </c>
      <c r="X13" s="23"/>
      <c r="Y13" s="19"/>
      <c r="Z13" s="21"/>
      <c r="AA13" s="21"/>
      <c r="AB13" s="116"/>
      <c r="AC13" s="56">
        <v>20</v>
      </c>
      <c r="AD13" s="29">
        <v>1.5829999999999999E-5</v>
      </c>
      <c r="AE13" s="29">
        <v>1.6229999999999999E-5</v>
      </c>
      <c r="AF13" s="21">
        <f t="shared" si="12"/>
        <v>8.0150000000000008E-7</v>
      </c>
      <c r="AG13" s="21">
        <f t="shared" si="7"/>
        <v>9.9999999999999886E-9</v>
      </c>
      <c r="AH13" s="22">
        <f t="shared" si="8"/>
        <v>1.247660636306923E-2</v>
      </c>
      <c r="AI13" s="19" t="s">
        <v>103</v>
      </c>
      <c r="AM13" s="19" t="s">
        <v>54</v>
      </c>
      <c r="AO13" s="23" t="s">
        <v>104</v>
      </c>
      <c r="AP13" s="21">
        <f t="shared" si="11"/>
        <v>1.0018750000000001</v>
      </c>
    </row>
    <row r="14" spans="1:50" s="16" customFormat="1" ht="15" customHeight="1">
      <c r="A14" s="15">
        <v>0.8</v>
      </c>
      <c r="B14" s="21">
        <f t="shared" si="9"/>
        <v>0.93888888888888888</v>
      </c>
      <c r="C14" s="19">
        <f t="shared" si="0"/>
        <v>751.11111111111109</v>
      </c>
      <c r="D14" s="16">
        <v>7.511111111111111E-7</v>
      </c>
      <c r="E14" s="16">
        <v>1.8888888888888897E-8</v>
      </c>
      <c r="F14" s="21">
        <f t="shared" si="13"/>
        <v>9.4444444444444485E-9</v>
      </c>
      <c r="G14" s="171">
        <f t="shared" si="10"/>
        <v>2.5147928994082851E-2</v>
      </c>
      <c r="H14" s="171">
        <f t="shared" si="14"/>
        <v>1.2573964497041425E-2</v>
      </c>
      <c r="I14" s="60">
        <v>3</v>
      </c>
      <c r="J14" s="21">
        <f t="shared" si="1"/>
        <v>800</v>
      </c>
      <c r="K14" s="34">
        <v>7.9999999999999996E-7</v>
      </c>
      <c r="L14" s="61">
        <v>1E-13</v>
      </c>
      <c r="M14" s="61">
        <f t="shared" si="2"/>
        <v>0.1</v>
      </c>
      <c r="N14" s="16" t="s">
        <v>89</v>
      </c>
      <c r="R14" s="16">
        <v>0</v>
      </c>
      <c r="S14" s="16" t="s">
        <v>13</v>
      </c>
      <c r="T14" s="34">
        <f t="shared" si="3"/>
        <v>8000000000000</v>
      </c>
      <c r="U14" s="34">
        <f t="shared" si="4"/>
        <v>24000000000000</v>
      </c>
      <c r="V14" s="36">
        <f t="shared" si="5"/>
        <v>2.4000000000000004</v>
      </c>
      <c r="W14" s="34">
        <f t="shared" si="6"/>
        <v>0.93888888888888888</v>
      </c>
      <c r="X14" s="122"/>
      <c r="Y14" s="62"/>
      <c r="AB14" s="114"/>
      <c r="AC14" s="16">
        <v>9</v>
      </c>
      <c r="AD14" s="63">
        <v>6.5899999999999996E-6</v>
      </c>
      <c r="AE14" s="63">
        <v>6.9299999999999997E-6</v>
      </c>
      <c r="AF14" s="35">
        <f t="shared" si="12"/>
        <v>7.511111111111111E-7</v>
      </c>
      <c r="AG14" s="35">
        <f t="shared" si="7"/>
        <v>1.8888888888888897E-8</v>
      </c>
      <c r="AH14" s="64">
        <f t="shared" si="8"/>
        <v>2.5147928994082851E-2</v>
      </c>
      <c r="AI14" s="65" t="s">
        <v>93</v>
      </c>
      <c r="AM14" s="19" t="s">
        <v>54</v>
      </c>
      <c r="AO14" s="59">
        <v>40389</v>
      </c>
      <c r="AP14" s="21">
        <f t="shared" si="11"/>
        <v>0.93888888888888888</v>
      </c>
    </row>
    <row r="15" spans="1:50" s="25" customFormat="1" ht="15" customHeight="1">
      <c r="A15" s="24">
        <v>0.8</v>
      </c>
      <c r="B15" s="21">
        <f t="shared" si="9"/>
        <v>0.87968749999999996</v>
      </c>
      <c r="C15" s="19">
        <f t="shared" si="0"/>
        <v>703.75</v>
      </c>
      <c r="D15" s="25">
        <v>7.0375000000000004E-7</v>
      </c>
      <c r="E15" s="25">
        <v>5.1249999999999986E-8</v>
      </c>
      <c r="F15" s="21">
        <f t="shared" si="13"/>
        <v>2.5624999999999993E-8</v>
      </c>
      <c r="G15" s="171">
        <f t="shared" si="10"/>
        <v>7.2824156305506191E-2</v>
      </c>
      <c r="H15" s="171">
        <f t="shared" si="14"/>
        <v>3.6412078152753095E-2</v>
      </c>
      <c r="I15" s="25">
        <v>3</v>
      </c>
      <c r="J15" s="21">
        <f t="shared" si="1"/>
        <v>800</v>
      </c>
      <c r="K15" s="49">
        <v>7.9999999999999996E-7</v>
      </c>
      <c r="L15" s="51">
        <v>1E-13</v>
      </c>
      <c r="M15" s="51">
        <f t="shared" si="2"/>
        <v>0.1</v>
      </c>
      <c r="N15" s="25" t="s">
        <v>89</v>
      </c>
      <c r="O15" s="25" t="s">
        <v>145</v>
      </c>
      <c r="P15" s="17">
        <v>4.5700000000000003E-6</v>
      </c>
      <c r="Q15" s="161">
        <f>P15*1000000</f>
        <v>4.57</v>
      </c>
      <c r="R15" s="25">
        <v>0</v>
      </c>
      <c r="S15" s="25" t="s">
        <v>13</v>
      </c>
      <c r="T15" s="49">
        <f t="shared" si="3"/>
        <v>8000000000000</v>
      </c>
      <c r="U15" s="49">
        <f t="shared" si="4"/>
        <v>24000000000000</v>
      </c>
      <c r="V15" s="52">
        <f t="shared" si="5"/>
        <v>2.4000000000000004</v>
      </c>
      <c r="W15" s="24">
        <f t="shared" si="6"/>
        <v>0.87968750000000007</v>
      </c>
      <c r="X15" s="123"/>
      <c r="Y15" s="53"/>
      <c r="AB15" s="115"/>
      <c r="AC15" s="25">
        <v>4</v>
      </c>
      <c r="AD15" s="28">
        <v>2.61E-6</v>
      </c>
      <c r="AE15" s="28">
        <v>3.0199999999999999E-6</v>
      </c>
      <c r="AF15" s="17">
        <f t="shared" si="12"/>
        <v>7.0375000000000004E-7</v>
      </c>
      <c r="AG15" s="17">
        <f t="shared" si="7"/>
        <v>5.1249999999999986E-8</v>
      </c>
      <c r="AH15" s="18">
        <f t="shared" si="8"/>
        <v>7.2824156305506191E-2</v>
      </c>
      <c r="AI15" s="25" t="s">
        <v>140</v>
      </c>
      <c r="AJ15" s="25" t="s">
        <v>146</v>
      </c>
      <c r="AM15" s="25" t="s">
        <v>54</v>
      </c>
      <c r="AN15" s="163" t="s">
        <v>86</v>
      </c>
      <c r="AO15" s="48">
        <v>40358</v>
      </c>
      <c r="AP15" s="21">
        <f t="shared" si="11"/>
        <v>0.87968750000000007</v>
      </c>
    </row>
    <row r="16" spans="1:50" ht="15" customHeight="1">
      <c r="A16" s="23">
        <v>0.8</v>
      </c>
      <c r="B16" s="21">
        <f t="shared" si="9"/>
        <v>1.0604166666666668</v>
      </c>
      <c r="C16" s="19">
        <f t="shared" si="0"/>
        <v>848.33333333333337</v>
      </c>
      <c r="D16" s="19">
        <v>8.483333333333334E-7</v>
      </c>
      <c r="E16" s="19">
        <v>3.1666666666666719E-8</v>
      </c>
      <c r="F16" s="21">
        <f t="shared" si="13"/>
        <v>1.5833333333333359E-8</v>
      </c>
      <c r="G16" s="171">
        <f t="shared" si="10"/>
        <v>3.7328094302554085E-2</v>
      </c>
      <c r="H16" s="171">
        <f t="shared" si="14"/>
        <v>1.8664047151277043E-2</v>
      </c>
      <c r="I16" s="19">
        <v>3</v>
      </c>
      <c r="J16" s="21">
        <f t="shared" si="1"/>
        <v>800</v>
      </c>
      <c r="K16" s="31">
        <v>7.9999999999999996E-7</v>
      </c>
      <c r="L16" s="57">
        <v>1E-13</v>
      </c>
      <c r="M16" s="57">
        <f t="shared" si="2"/>
        <v>0.1</v>
      </c>
      <c r="N16" s="19" t="s">
        <v>89</v>
      </c>
      <c r="O16" s="19" t="s">
        <v>145</v>
      </c>
      <c r="P16" s="21">
        <v>6.1199999999999999E-6</v>
      </c>
      <c r="Q16" s="128">
        <f>P16*1000000</f>
        <v>6.12</v>
      </c>
      <c r="R16" s="19">
        <v>0</v>
      </c>
      <c r="S16" s="19" t="s">
        <v>13</v>
      </c>
      <c r="T16" s="31">
        <f t="shared" si="3"/>
        <v>8000000000000</v>
      </c>
      <c r="U16" s="31">
        <f t="shared" si="4"/>
        <v>24000000000000</v>
      </c>
      <c r="V16" s="32">
        <f t="shared" si="5"/>
        <v>2.4000000000000004</v>
      </c>
      <c r="W16" s="23">
        <f t="shared" si="6"/>
        <v>1.0604166666666668</v>
      </c>
      <c r="AC16" s="19">
        <v>6</v>
      </c>
      <c r="AD16" s="29">
        <v>4.8999999999999997E-6</v>
      </c>
      <c r="AE16" s="29">
        <v>5.2800000000000003E-6</v>
      </c>
      <c r="AF16" s="21">
        <f t="shared" si="12"/>
        <v>8.483333333333334E-7</v>
      </c>
      <c r="AG16" s="21">
        <f t="shared" si="7"/>
        <v>3.1666666666666719E-8</v>
      </c>
      <c r="AH16" s="22">
        <f t="shared" si="8"/>
        <v>3.7328094302554085E-2</v>
      </c>
      <c r="AI16" s="19" t="s">
        <v>140</v>
      </c>
      <c r="AJ16" s="19" t="s">
        <v>146</v>
      </c>
      <c r="AM16" s="19" t="s">
        <v>54</v>
      </c>
      <c r="AN16" s="105" t="s">
        <v>86</v>
      </c>
      <c r="AO16" s="55">
        <v>40358</v>
      </c>
      <c r="AP16" s="21">
        <f t="shared" si="11"/>
        <v>1.0604166666666668</v>
      </c>
    </row>
    <row r="17" spans="1:50" ht="15" customHeight="1">
      <c r="A17" s="23">
        <v>0.8</v>
      </c>
      <c r="B17" s="21">
        <f t="shared" si="9"/>
        <v>0.91499999999999981</v>
      </c>
      <c r="C17" s="19">
        <f t="shared" si="0"/>
        <v>731.99999999999989</v>
      </c>
      <c r="D17" s="19">
        <v>7.3199999999999994E-7</v>
      </c>
      <c r="E17" s="19">
        <v>4.8000000000000006E-8</v>
      </c>
      <c r="F17" s="21">
        <f t="shared" si="13"/>
        <v>2.4000000000000003E-8</v>
      </c>
      <c r="G17" s="171">
        <f t="shared" si="10"/>
        <v>6.5573770491803296E-2</v>
      </c>
      <c r="H17" s="171">
        <f t="shared" si="14"/>
        <v>3.2786885245901648E-2</v>
      </c>
      <c r="I17" s="19">
        <v>3</v>
      </c>
      <c r="J17" s="21">
        <f t="shared" si="1"/>
        <v>800</v>
      </c>
      <c r="K17" s="31">
        <v>7.9999999999999996E-7</v>
      </c>
      <c r="L17" s="57">
        <v>1E-13</v>
      </c>
      <c r="M17" s="57">
        <f t="shared" si="2"/>
        <v>0.1</v>
      </c>
      <c r="N17" s="19" t="s">
        <v>89</v>
      </c>
      <c r="O17" s="19" t="s">
        <v>145</v>
      </c>
      <c r="P17" s="21">
        <v>5.3199999999999999E-6</v>
      </c>
      <c r="Q17" s="128">
        <f>P17*1000000</f>
        <v>5.32</v>
      </c>
      <c r="R17" s="19">
        <v>0</v>
      </c>
      <c r="S17" s="19" t="s">
        <v>13</v>
      </c>
      <c r="T17" s="31">
        <f t="shared" si="3"/>
        <v>8000000000000</v>
      </c>
      <c r="U17" s="31">
        <f t="shared" si="4"/>
        <v>24000000000000</v>
      </c>
      <c r="V17" s="32">
        <f t="shared" si="5"/>
        <v>2.4000000000000004</v>
      </c>
      <c r="W17" s="23">
        <f t="shared" si="6"/>
        <v>0.91499999999999992</v>
      </c>
      <c r="AC17" s="19">
        <v>5</v>
      </c>
      <c r="AD17" s="29">
        <v>3.4199999999999999E-6</v>
      </c>
      <c r="AE17" s="29">
        <v>3.8999999999999999E-6</v>
      </c>
      <c r="AF17" s="21">
        <f t="shared" si="12"/>
        <v>7.3199999999999994E-7</v>
      </c>
      <c r="AG17" s="21">
        <f t="shared" si="7"/>
        <v>4.8000000000000006E-8</v>
      </c>
      <c r="AH17" s="22">
        <f t="shared" si="8"/>
        <v>6.5573770491803296E-2</v>
      </c>
      <c r="AI17" s="19" t="s">
        <v>140</v>
      </c>
      <c r="AJ17" s="19" t="s">
        <v>146</v>
      </c>
      <c r="AM17" s="19" t="s">
        <v>54</v>
      </c>
      <c r="AN17" s="105" t="s">
        <v>86</v>
      </c>
      <c r="AO17" s="55">
        <v>40358</v>
      </c>
      <c r="AP17" s="21">
        <f t="shared" si="11"/>
        <v>0.91499999999999992</v>
      </c>
    </row>
    <row r="18" spans="1:50" ht="15" customHeight="1">
      <c r="A18" s="23">
        <v>0.8</v>
      </c>
      <c r="B18" s="21">
        <f t="shared" si="9"/>
        <v>0.8833333333333333</v>
      </c>
      <c r="C18" s="19">
        <f t="shared" si="0"/>
        <v>706.66666666666663</v>
      </c>
      <c r="D18" s="19">
        <v>7.0666666666666664E-7</v>
      </c>
      <c r="E18" s="19">
        <v>2.4166666666666718E-8</v>
      </c>
      <c r="F18" s="21">
        <f t="shared" si="13"/>
        <v>1.2083333333333359E-8</v>
      </c>
      <c r="G18" s="171">
        <f t="shared" si="10"/>
        <v>3.4198113207547245E-2</v>
      </c>
      <c r="H18" s="171">
        <f t="shared" si="14"/>
        <v>1.7099056603773623E-2</v>
      </c>
      <c r="I18" s="19">
        <v>3</v>
      </c>
      <c r="J18" s="21">
        <f t="shared" si="1"/>
        <v>800</v>
      </c>
      <c r="K18" s="31">
        <v>7.9999999999999996E-7</v>
      </c>
      <c r="L18" s="57">
        <v>1E-13</v>
      </c>
      <c r="M18" s="57">
        <f t="shared" si="2"/>
        <v>0.1</v>
      </c>
      <c r="N18" s="19" t="s">
        <v>89</v>
      </c>
      <c r="O18" s="19" t="s">
        <v>145</v>
      </c>
      <c r="P18" s="21">
        <v>1.484E-5</v>
      </c>
      <c r="Q18" s="128">
        <f>P18*1000000</f>
        <v>14.84</v>
      </c>
      <c r="R18" s="19">
        <v>0</v>
      </c>
      <c r="S18" s="19" t="s">
        <v>13</v>
      </c>
      <c r="T18" s="31">
        <f t="shared" si="3"/>
        <v>8000000000000</v>
      </c>
      <c r="U18" s="31">
        <f t="shared" si="4"/>
        <v>24000000000000</v>
      </c>
      <c r="V18" s="32">
        <f t="shared" si="5"/>
        <v>2.4000000000000004</v>
      </c>
      <c r="W18" s="23">
        <f t="shared" si="6"/>
        <v>0.8833333333333333</v>
      </c>
      <c r="AC18" s="19">
        <v>12</v>
      </c>
      <c r="AD18" s="29">
        <v>8.1899999999999995E-6</v>
      </c>
      <c r="AE18" s="29">
        <v>8.7700000000000007E-6</v>
      </c>
      <c r="AF18" s="21">
        <f t="shared" si="12"/>
        <v>7.0666666666666664E-7</v>
      </c>
      <c r="AG18" s="21">
        <f t="shared" si="7"/>
        <v>2.4166666666666718E-8</v>
      </c>
      <c r="AH18" s="22">
        <f t="shared" si="8"/>
        <v>3.4198113207547245E-2</v>
      </c>
      <c r="AI18" s="19" t="s">
        <v>140</v>
      </c>
      <c r="AJ18" s="19" t="s">
        <v>146</v>
      </c>
      <c r="AM18" s="19" t="s">
        <v>54</v>
      </c>
      <c r="AN18" s="105" t="s">
        <v>86</v>
      </c>
      <c r="AO18" s="55">
        <v>40358</v>
      </c>
      <c r="AP18" s="21">
        <f t="shared" si="11"/>
        <v>0.8833333333333333</v>
      </c>
    </row>
    <row r="19" spans="1:50" ht="15" customHeight="1">
      <c r="A19" s="23">
        <v>0.85</v>
      </c>
      <c r="B19" s="21">
        <f t="shared" si="9"/>
        <v>0.98124999999999996</v>
      </c>
      <c r="C19" s="19">
        <f t="shared" si="0"/>
        <v>785</v>
      </c>
      <c r="D19" s="19">
        <v>7.85E-7</v>
      </c>
      <c r="E19" s="19">
        <v>7.3076923076923028E-9</v>
      </c>
      <c r="F19" s="21">
        <f t="shared" si="13"/>
        <v>3.6538461538461514E-9</v>
      </c>
      <c r="G19" s="171">
        <f t="shared" si="10"/>
        <v>9.3091621754042078E-3</v>
      </c>
      <c r="H19" s="171">
        <f t="shared" si="14"/>
        <v>4.6545810877021039E-3</v>
      </c>
      <c r="I19" s="56">
        <v>3</v>
      </c>
      <c r="J19" s="21">
        <f t="shared" si="1"/>
        <v>800</v>
      </c>
      <c r="K19" s="31">
        <v>7.9999999999999996E-7</v>
      </c>
      <c r="L19" s="57">
        <v>1E-13</v>
      </c>
      <c r="M19" s="57">
        <f t="shared" si="2"/>
        <v>0.1</v>
      </c>
      <c r="N19" s="19" t="s">
        <v>95</v>
      </c>
      <c r="Q19" s="21"/>
      <c r="R19" s="19">
        <v>0</v>
      </c>
      <c r="S19" s="19" t="s">
        <v>13</v>
      </c>
      <c r="T19" s="31">
        <f t="shared" si="3"/>
        <v>8500000000000</v>
      </c>
      <c r="U19" s="31">
        <f t="shared" si="4"/>
        <v>25500000000000</v>
      </c>
      <c r="V19" s="32">
        <f t="shared" si="5"/>
        <v>2.5499999999999998</v>
      </c>
      <c r="W19" s="31">
        <f t="shared" si="6"/>
        <v>0.98125000000000007</v>
      </c>
      <c r="X19" s="73">
        <v>7.0999999999999998E-7</v>
      </c>
      <c r="Y19" s="29">
        <v>8.1999999999999998E-7</v>
      </c>
      <c r="Z19" s="21">
        <f>(X19+Y19)/2</f>
        <v>7.6499999999999998E-7</v>
      </c>
      <c r="AA19" s="21">
        <f>(Y19-X19)/2</f>
        <v>5.5000000000000003E-8</v>
      </c>
      <c r="AB19" s="116">
        <f>AA19/Z19</f>
        <v>7.1895424836601315E-2</v>
      </c>
      <c r="AC19" s="56">
        <v>13</v>
      </c>
      <c r="AD19" s="29">
        <v>1.011E-5</v>
      </c>
      <c r="AE19" s="29">
        <v>1.03E-5</v>
      </c>
      <c r="AF19" s="21">
        <f t="shared" si="12"/>
        <v>7.85E-7</v>
      </c>
      <c r="AG19" s="21">
        <f t="shared" si="7"/>
        <v>7.3076923076923028E-9</v>
      </c>
      <c r="AH19" s="22">
        <f t="shared" si="8"/>
        <v>9.3091621754042078E-3</v>
      </c>
      <c r="AI19" s="19" t="s">
        <v>19</v>
      </c>
      <c r="AM19" s="25" t="s">
        <v>54</v>
      </c>
      <c r="AO19" s="55">
        <v>40245</v>
      </c>
      <c r="AP19" s="21">
        <f t="shared" si="11"/>
        <v>0.98125000000000007</v>
      </c>
    </row>
    <row r="20" spans="1:50" ht="15" customHeight="1">
      <c r="A20" s="23">
        <v>0.1</v>
      </c>
      <c r="B20" s="21">
        <f t="shared" si="9"/>
        <v>0.91718750000000004</v>
      </c>
      <c r="C20" s="19">
        <f t="shared" si="0"/>
        <v>733.75</v>
      </c>
      <c r="D20" s="19">
        <v>7.3374999999999996E-7</v>
      </c>
      <c r="E20" s="19">
        <v>3.5000000000000035E-8</v>
      </c>
      <c r="F20" s="21">
        <f t="shared" si="13"/>
        <v>1.7500000000000018E-8</v>
      </c>
      <c r="G20" s="171">
        <f t="shared" si="10"/>
        <v>4.7700170357751329E-2</v>
      </c>
      <c r="H20" s="171">
        <f t="shared" si="14"/>
        <v>2.3850085178875664E-2</v>
      </c>
      <c r="I20" s="56">
        <v>4</v>
      </c>
      <c r="J20" s="21">
        <f t="shared" si="1"/>
        <v>800</v>
      </c>
      <c r="K20" s="31">
        <v>7.9999999999999996E-7</v>
      </c>
      <c r="L20" s="57">
        <v>1E-13</v>
      </c>
      <c r="M20" s="57">
        <f t="shared" si="2"/>
        <v>0.1</v>
      </c>
      <c r="N20" s="19" t="s">
        <v>89</v>
      </c>
      <c r="R20" s="19">
        <v>0</v>
      </c>
      <c r="S20" s="19" t="s">
        <v>13</v>
      </c>
      <c r="T20" s="31">
        <f t="shared" si="3"/>
        <v>1000000000000</v>
      </c>
      <c r="U20" s="31">
        <f t="shared" si="4"/>
        <v>4000000000000</v>
      </c>
      <c r="V20" s="32">
        <f t="shared" si="5"/>
        <v>0.4</v>
      </c>
      <c r="W20" s="31">
        <f t="shared" si="6"/>
        <v>0.91718750000000004</v>
      </c>
      <c r="AC20" s="19">
        <v>8</v>
      </c>
      <c r="AD20" s="29">
        <v>5.5899999999999998E-6</v>
      </c>
      <c r="AE20" s="29">
        <v>6.1500000000000004E-6</v>
      </c>
      <c r="AF20" s="21">
        <f t="shared" si="12"/>
        <v>7.3374999999999996E-7</v>
      </c>
      <c r="AG20" s="21">
        <f t="shared" si="7"/>
        <v>3.5000000000000035E-8</v>
      </c>
      <c r="AH20" s="22">
        <f t="shared" si="8"/>
        <v>4.7700170357751329E-2</v>
      </c>
      <c r="AI20" s="58" t="s">
        <v>93</v>
      </c>
      <c r="AM20" s="19" t="s">
        <v>54</v>
      </c>
      <c r="AO20" s="55">
        <v>40389</v>
      </c>
      <c r="AP20" s="21">
        <f t="shared" si="11"/>
        <v>0.91718750000000004</v>
      </c>
    </row>
    <row r="21" spans="1:50" ht="15" customHeight="1">
      <c r="A21" s="23">
        <v>0.2</v>
      </c>
      <c r="B21" s="21">
        <f t="shared" si="9"/>
        <v>0.93749999999999989</v>
      </c>
      <c r="C21" s="19">
        <f t="shared" si="0"/>
        <v>749.99999999999989</v>
      </c>
      <c r="D21" s="19">
        <v>7.4999999999999991E-7</v>
      </c>
      <c r="E21" s="19">
        <v>1.7999999999999956E-8</v>
      </c>
      <c r="F21" s="21">
        <f t="shared" si="13"/>
        <v>8.999999999999978E-9</v>
      </c>
      <c r="G21" s="171">
        <f t="shared" si="10"/>
        <v>2.3999999999999945E-2</v>
      </c>
      <c r="H21" s="171">
        <f t="shared" si="14"/>
        <v>1.1999999999999972E-2</v>
      </c>
      <c r="I21" s="19">
        <v>4</v>
      </c>
      <c r="J21" s="21">
        <f t="shared" si="1"/>
        <v>800</v>
      </c>
      <c r="K21" s="31">
        <v>7.9999999999999996E-7</v>
      </c>
      <c r="L21" s="57">
        <v>1E-13</v>
      </c>
      <c r="M21" s="57">
        <f t="shared" si="2"/>
        <v>0.1</v>
      </c>
      <c r="N21" s="19" t="s">
        <v>95</v>
      </c>
      <c r="R21" s="19">
        <v>0</v>
      </c>
      <c r="S21" s="19" t="s">
        <v>13</v>
      </c>
      <c r="T21" s="31">
        <f t="shared" si="3"/>
        <v>2000000000000</v>
      </c>
      <c r="U21" s="31">
        <f t="shared" si="4"/>
        <v>8000000000000</v>
      </c>
      <c r="V21" s="32">
        <f t="shared" si="5"/>
        <v>0.8</v>
      </c>
      <c r="W21" s="31">
        <f t="shared" si="6"/>
        <v>0.93749999999999989</v>
      </c>
      <c r="X21" s="73">
        <v>6.5000000000000002E-7</v>
      </c>
      <c r="Y21" s="29">
        <v>8.6000000000000002E-7</v>
      </c>
      <c r="Z21" s="21">
        <f>(X21+Y21)/2</f>
        <v>7.5499999999999997E-7</v>
      </c>
      <c r="AA21" s="21">
        <f>(Y21-X21)/2</f>
        <v>1.05E-7</v>
      </c>
      <c r="AB21" s="116">
        <f>AA21/Z21</f>
        <v>0.13907284768211922</v>
      </c>
      <c r="AC21" s="19">
        <v>5</v>
      </c>
      <c r="AD21" s="29">
        <v>3.6600000000000001E-6</v>
      </c>
      <c r="AE21" s="29">
        <v>3.8399999999999997E-6</v>
      </c>
      <c r="AF21" s="21">
        <f t="shared" si="12"/>
        <v>7.4999999999999991E-7</v>
      </c>
      <c r="AG21" s="21">
        <f t="shared" si="7"/>
        <v>1.7999999999999956E-8</v>
      </c>
      <c r="AH21" s="22">
        <f t="shared" si="8"/>
        <v>2.3999999999999945E-2</v>
      </c>
      <c r="AI21" s="19" t="s">
        <v>14</v>
      </c>
      <c r="AJ21" s="19" t="s">
        <v>9</v>
      </c>
      <c r="AM21" s="19" t="s">
        <v>54</v>
      </c>
      <c r="AO21" s="55">
        <v>40253</v>
      </c>
      <c r="AP21" s="21">
        <f t="shared" si="11"/>
        <v>0.93749999999999989</v>
      </c>
    </row>
    <row r="22" spans="1:50" ht="15" customHeight="1">
      <c r="A22" s="23">
        <v>0.2</v>
      </c>
      <c r="B22" s="21">
        <f t="shared" si="9"/>
        <v>0.9447368421052631</v>
      </c>
      <c r="C22" s="19">
        <f t="shared" si="0"/>
        <v>755.78947368421052</v>
      </c>
      <c r="D22" s="19">
        <v>7.5578947368421052E-7</v>
      </c>
      <c r="E22" s="19">
        <v>1.0526315789473673E-8</v>
      </c>
      <c r="F22" s="21">
        <f t="shared" si="13"/>
        <v>5.2631578947368363E-9</v>
      </c>
      <c r="G22" s="171">
        <f t="shared" si="10"/>
        <v>1.3927576601671293E-2</v>
      </c>
      <c r="H22" s="171">
        <f t="shared" si="14"/>
        <v>6.9637883008356466E-3</v>
      </c>
      <c r="I22" s="56">
        <v>4</v>
      </c>
      <c r="J22" s="21">
        <f t="shared" si="1"/>
        <v>800</v>
      </c>
      <c r="K22" s="31">
        <v>7.9999999999999996E-7</v>
      </c>
      <c r="L22" s="57">
        <v>1E-13</v>
      </c>
      <c r="M22" s="57">
        <f t="shared" si="2"/>
        <v>0.1</v>
      </c>
      <c r="N22" s="19" t="s">
        <v>89</v>
      </c>
      <c r="R22" s="19">
        <v>0</v>
      </c>
      <c r="S22" s="19" t="s">
        <v>13</v>
      </c>
      <c r="T22" s="31">
        <f t="shared" si="3"/>
        <v>2000000000000</v>
      </c>
      <c r="U22" s="31">
        <f t="shared" si="4"/>
        <v>8000000000000</v>
      </c>
      <c r="V22" s="32">
        <f t="shared" si="5"/>
        <v>0.8</v>
      </c>
      <c r="W22" s="31">
        <f t="shared" si="6"/>
        <v>0.94473684210526321</v>
      </c>
      <c r="AC22" s="19">
        <v>19</v>
      </c>
      <c r="AD22" s="29">
        <v>1.416E-5</v>
      </c>
      <c r="AE22" s="29">
        <v>1.456E-5</v>
      </c>
      <c r="AF22" s="21">
        <f t="shared" si="12"/>
        <v>7.5578947368421052E-7</v>
      </c>
      <c r="AG22" s="21">
        <f t="shared" si="7"/>
        <v>1.0526315789473673E-8</v>
      </c>
      <c r="AH22" s="22">
        <f t="shared" si="8"/>
        <v>1.3927576601671293E-2</v>
      </c>
      <c r="AI22" s="58" t="s">
        <v>93</v>
      </c>
      <c r="AM22" s="19" t="s">
        <v>54</v>
      </c>
      <c r="AO22" s="55">
        <v>40389</v>
      </c>
      <c r="AP22" s="21">
        <f t="shared" si="11"/>
        <v>0.94473684210526321</v>
      </c>
    </row>
    <row r="23" spans="1:50" ht="15" customHeight="1">
      <c r="A23" s="23">
        <v>0.28799999999999998</v>
      </c>
      <c r="B23" s="21">
        <f t="shared" si="9"/>
        <v>0.84531250000000002</v>
      </c>
      <c r="C23" s="19">
        <f t="shared" si="0"/>
        <v>676.25</v>
      </c>
      <c r="D23" s="19">
        <v>6.7624999999999998E-7</v>
      </c>
      <c r="E23" s="19">
        <v>5.3750000000000015E-8</v>
      </c>
      <c r="F23" s="21">
        <f t="shared" si="13"/>
        <v>2.6875000000000007E-8</v>
      </c>
      <c r="G23" s="171">
        <f t="shared" si="10"/>
        <v>7.9482439926062867E-2</v>
      </c>
      <c r="H23" s="171">
        <f t="shared" si="14"/>
        <v>3.9741219963031434E-2</v>
      </c>
      <c r="I23" s="56">
        <v>4</v>
      </c>
      <c r="J23" s="21">
        <f t="shared" si="1"/>
        <v>800</v>
      </c>
      <c r="K23" s="31">
        <v>7.9999999999999996E-7</v>
      </c>
      <c r="L23" s="57">
        <v>1E-13</v>
      </c>
      <c r="M23" s="57">
        <f t="shared" si="2"/>
        <v>0.1</v>
      </c>
      <c r="N23" s="19" t="s">
        <v>95</v>
      </c>
      <c r="R23" s="19">
        <v>0</v>
      </c>
      <c r="S23" s="19" t="s">
        <v>13</v>
      </c>
      <c r="T23" s="31">
        <f t="shared" si="3"/>
        <v>2879999999999.9995</v>
      </c>
      <c r="U23" s="31">
        <f t="shared" si="4"/>
        <v>11519999999999.998</v>
      </c>
      <c r="V23" s="32">
        <f t="shared" si="5"/>
        <v>1.1519999999999999</v>
      </c>
      <c r="W23" s="31">
        <f t="shared" si="6"/>
        <v>0.84531250000000002</v>
      </c>
      <c r="AC23" s="56">
        <v>4</v>
      </c>
      <c r="AD23" s="29">
        <v>2.4899999999999999E-6</v>
      </c>
      <c r="AE23" s="29">
        <v>2.92E-6</v>
      </c>
      <c r="AF23" s="21">
        <f t="shared" si="12"/>
        <v>6.7624999999999998E-7</v>
      </c>
      <c r="AG23" s="21">
        <f t="shared" si="7"/>
        <v>5.3750000000000015E-8</v>
      </c>
      <c r="AH23" s="22">
        <f t="shared" si="8"/>
        <v>7.9482439926062867E-2</v>
      </c>
      <c r="AI23" s="19" t="s">
        <v>17</v>
      </c>
      <c r="AM23" s="19" t="s">
        <v>54</v>
      </c>
      <c r="AO23" s="55">
        <v>40245</v>
      </c>
      <c r="AP23" s="21">
        <f t="shared" si="11"/>
        <v>0.84531250000000002</v>
      </c>
    </row>
    <row r="24" spans="1:50" ht="15" customHeight="1">
      <c r="A24" s="131">
        <v>0.313</v>
      </c>
      <c r="B24" s="21">
        <f t="shared" si="9"/>
        <v>0.8616071428571429</v>
      </c>
      <c r="C24" s="132">
        <f t="shared" si="0"/>
        <v>689.28571428571433</v>
      </c>
      <c r="D24" s="132">
        <v>6.8928571428571434E-7</v>
      </c>
      <c r="E24" s="132">
        <v>1.7857142857142869E-8</v>
      </c>
      <c r="F24" s="21">
        <f t="shared" si="13"/>
        <v>8.9285714285714345E-9</v>
      </c>
      <c r="G24" s="171">
        <f t="shared" si="10"/>
        <v>2.5906735751295352E-2</v>
      </c>
      <c r="H24" s="171">
        <f t="shared" si="14"/>
        <v>1.2953367875647676E-2</v>
      </c>
      <c r="I24" s="133">
        <v>4</v>
      </c>
      <c r="J24" s="21">
        <f t="shared" si="1"/>
        <v>800</v>
      </c>
      <c r="K24" s="134">
        <v>7.9999999999999996E-7</v>
      </c>
      <c r="L24" s="135">
        <v>1E-13</v>
      </c>
      <c r="M24" s="135">
        <f t="shared" si="2"/>
        <v>0.1</v>
      </c>
      <c r="N24" s="132" t="s">
        <v>95</v>
      </c>
      <c r="O24" s="132"/>
      <c r="P24" s="132"/>
      <c r="Q24" s="132"/>
      <c r="R24" s="132">
        <v>0</v>
      </c>
      <c r="S24" s="132" t="s">
        <v>13</v>
      </c>
      <c r="T24" s="134">
        <f t="shared" si="3"/>
        <v>3130000000000</v>
      </c>
      <c r="U24" s="134">
        <f t="shared" si="4"/>
        <v>12520000000000</v>
      </c>
      <c r="V24" s="136">
        <f t="shared" si="5"/>
        <v>1.252</v>
      </c>
      <c r="W24" s="134">
        <f t="shared" si="6"/>
        <v>0.86160714285714302</v>
      </c>
      <c r="X24" s="131"/>
      <c r="Y24" s="132"/>
      <c r="Z24" s="132"/>
      <c r="AA24" s="132"/>
      <c r="AB24" s="137"/>
      <c r="AC24" s="133">
        <v>7</v>
      </c>
      <c r="AD24" s="71">
        <v>4.6999999999999999E-6</v>
      </c>
      <c r="AE24" s="71">
        <v>4.95E-6</v>
      </c>
      <c r="AF24" s="71">
        <f t="shared" si="12"/>
        <v>6.8928571428571434E-7</v>
      </c>
      <c r="AG24" s="71">
        <f t="shared" si="7"/>
        <v>1.7857142857142869E-8</v>
      </c>
      <c r="AH24" s="138">
        <f t="shared" si="8"/>
        <v>2.5906735751295352E-2</v>
      </c>
      <c r="AI24" s="132" t="s">
        <v>18</v>
      </c>
      <c r="AJ24" s="132"/>
      <c r="AK24" s="132"/>
      <c r="AL24" s="132"/>
      <c r="AM24" s="132" t="s">
        <v>54</v>
      </c>
      <c r="AN24" s="139" t="s">
        <v>86</v>
      </c>
      <c r="AO24" s="140">
        <v>40245</v>
      </c>
      <c r="AP24" s="21">
        <f t="shared" si="11"/>
        <v>0.86160714285714302</v>
      </c>
      <c r="AQ24" s="132"/>
      <c r="AR24" s="132"/>
      <c r="AS24" s="132"/>
      <c r="AT24" s="132"/>
      <c r="AU24" s="132"/>
      <c r="AV24" s="132"/>
      <c r="AW24" s="132"/>
      <c r="AX24" s="132"/>
    </row>
    <row r="25" spans="1:50" ht="15" customHeight="1">
      <c r="A25" s="23">
        <v>0.5</v>
      </c>
      <c r="B25" s="21">
        <f t="shared" si="9"/>
        <v>0.95480769230769225</v>
      </c>
      <c r="C25" s="19">
        <f t="shared" si="0"/>
        <v>763.84615384615381</v>
      </c>
      <c r="D25" s="19">
        <v>7.6384615384615385E-7</v>
      </c>
      <c r="E25" s="19">
        <v>1.7692307692307655E-8</v>
      </c>
      <c r="F25" s="21">
        <f t="shared" si="13"/>
        <v>8.8461538461538274E-9</v>
      </c>
      <c r="G25" s="171">
        <f t="shared" si="10"/>
        <v>2.3162134944612237E-2</v>
      </c>
      <c r="H25" s="171">
        <f t="shared" si="14"/>
        <v>1.1581067472306118E-2</v>
      </c>
      <c r="I25" s="56">
        <v>4</v>
      </c>
      <c r="J25" s="21">
        <f t="shared" si="1"/>
        <v>800</v>
      </c>
      <c r="K25" s="31">
        <v>7.9999999999999996E-7</v>
      </c>
      <c r="L25" s="57">
        <v>1E-13</v>
      </c>
      <c r="M25" s="57">
        <f t="shared" si="2"/>
        <v>0.1</v>
      </c>
      <c r="N25" s="19" t="s">
        <v>89</v>
      </c>
      <c r="R25" s="19">
        <v>0</v>
      </c>
      <c r="S25" s="19" t="s">
        <v>13</v>
      </c>
      <c r="T25" s="31">
        <f t="shared" si="3"/>
        <v>5000000000000</v>
      </c>
      <c r="U25" s="31">
        <f t="shared" si="4"/>
        <v>20000000000000</v>
      </c>
      <c r="V25" s="32">
        <f t="shared" si="5"/>
        <v>2</v>
      </c>
      <c r="W25" s="31">
        <f t="shared" si="6"/>
        <v>0.95480769230769236</v>
      </c>
      <c r="AC25" s="19">
        <v>13</v>
      </c>
      <c r="AD25" s="29">
        <v>9.7000000000000003E-6</v>
      </c>
      <c r="AE25" s="29">
        <v>1.0159999999999999E-5</v>
      </c>
      <c r="AF25" s="21">
        <f t="shared" si="12"/>
        <v>7.6384615384615385E-7</v>
      </c>
      <c r="AG25" s="21">
        <f t="shared" si="7"/>
        <v>1.7692307692307655E-8</v>
      </c>
      <c r="AH25" s="22">
        <f t="shared" si="8"/>
        <v>2.3162134944612237E-2</v>
      </c>
      <c r="AI25" s="58" t="s">
        <v>93</v>
      </c>
      <c r="AM25" s="19" t="s">
        <v>54</v>
      </c>
      <c r="AN25" s="105" t="s">
        <v>86</v>
      </c>
      <c r="AO25" s="55">
        <v>40389</v>
      </c>
      <c r="AP25" s="21">
        <f t="shared" si="11"/>
        <v>0.95480769230769236</v>
      </c>
    </row>
    <row r="26" spans="1:50" ht="15" customHeight="1">
      <c r="A26" s="23">
        <v>0.5</v>
      </c>
      <c r="B26" s="21">
        <f t="shared" si="9"/>
        <v>1.0024999999999999</v>
      </c>
      <c r="C26" s="19">
        <f t="shared" si="0"/>
        <v>802</v>
      </c>
      <c r="D26" s="19">
        <v>8.0200000000000001E-7</v>
      </c>
      <c r="E26" s="19">
        <v>1.3200000000000009E-8</v>
      </c>
      <c r="F26" s="21">
        <f t="shared" si="13"/>
        <v>6.6000000000000045E-9</v>
      </c>
      <c r="G26" s="171">
        <f t="shared" si="10"/>
        <v>1.6458852867830435E-2</v>
      </c>
      <c r="H26" s="171">
        <f t="shared" si="14"/>
        <v>8.2294264339152177E-3</v>
      </c>
      <c r="I26" s="56">
        <v>4</v>
      </c>
      <c r="J26" s="21">
        <f t="shared" si="1"/>
        <v>800</v>
      </c>
      <c r="K26" s="31">
        <v>7.9999999999999996E-7</v>
      </c>
      <c r="L26" s="57">
        <v>1E-13</v>
      </c>
      <c r="M26" s="56">
        <f t="shared" si="2"/>
        <v>0.1</v>
      </c>
      <c r="N26" s="19" t="s">
        <v>95</v>
      </c>
      <c r="R26" s="19">
        <v>0</v>
      </c>
      <c r="S26" s="19" t="s">
        <v>13</v>
      </c>
      <c r="T26" s="23">
        <f t="shared" si="3"/>
        <v>5000000000000</v>
      </c>
      <c r="U26" s="23">
        <f t="shared" si="4"/>
        <v>20000000000000</v>
      </c>
      <c r="V26" s="23">
        <f t="shared" si="5"/>
        <v>2</v>
      </c>
      <c r="W26" s="31">
        <f t="shared" si="6"/>
        <v>1.0024999999999999</v>
      </c>
      <c r="AC26" s="19">
        <v>25</v>
      </c>
      <c r="AD26" s="29">
        <v>1.9720000000000001E-5</v>
      </c>
      <c r="AE26" s="29">
        <v>2.0380000000000001E-5</v>
      </c>
      <c r="AF26" s="21">
        <f t="shared" si="12"/>
        <v>8.0200000000000001E-7</v>
      </c>
      <c r="AG26" s="21">
        <f t="shared" si="7"/>
        <v>1.3200000000000009E-8</v>
      </c>
      <c r="AH26" s="22">
        <f t="shared" si="8"/>
        <v>1.6458852867830435E-2</v>
      </c>
      <c r="AI26" s="19" t="s">
        <v>103</v>
      </c>
      <c r="AM26" s="19" t="s">
        <v>54</v>
      </c>
      <c r="AN26" s="105" t="s">
        <v>86</v>
      </c>
      <c r="AO26" s="23"/>
      <c r="AP26" s="21">
        <f t="shared" si="11"/>
        <v>1.0024999999999999</v>
      </c>
    </row>
    <row r="27" spans="1:50" ht="15" customHeight="1">
      <c r="A27" s="23">
        <v>0.8</v>
      </c>
      <c r="B27" s="21">
        <f t="shared" si="9"/>
        <v>0.92678571428571421</v>
      </c>
      <c r="C27" s="19">
        <f t="shared" si="0"/>
        <v>741.42857142857133</v>
      </c>
      <c r="D27" s="19">
        <v>7.4142857142857135E-7</v>
      </c>
      <c r="E27" s="19">
        <v>3.5714285714285672E-8</v>
      </c>
      <c r="F27" s="21">
        <f t="shared" si="13"/>
        <v>1.7857142857142836E-8</v>
      </c>
      <c r="G27" s="171">
        <f t="shared" si="10"/>
        <v>4.8169556840077017E-2</v>
      </c>
      <c r="H27" s="171">
        <f t="shared" si="14"/>
        <v>2.4084778420038509E-2</v>
      </c>
      <c r="I27" s="56">
        <v>4</v>
      </c>
      <c r="J27" s="21">
        <f t="shared" si="1"/>
        <v>800</v>
      </c>
      <c r="K27" s="31">
        <v>7.9999999999999996E-7</v>
      </c>
      <c r="L27" s="57">
        <v>1E-13</v>
      </c>
      <c r="M27" s="57">
        <f t="shared" si="2"/>
        <v>0.1</v>
      </c>
      <c r="N27" s="19" t="s">
        <v>89</v>
      </c>
      <c r="R27" s="19">
        <v>0</v>
      </c>
      <c r="S27" s="19" t="s">
        <v>13</v>
      </c>
      <c r="T27" s="31">
        <f t="shared" si="3"/>
        <v>8000000000000</v>
      </c>
      <c r="U27" s="31">
        <f t="shared" si="4"/>
        <v>32000000000000</v>
      </c>
      <c r="V27" s="32">
        <f t="shared" si="5"/>
        <v>3.2</v>
      </c>
      <c r="W27" s="31">
        <f t="shared" si="6"/>
        <v>0.92678571428571421</v>
      </c>
      <c r="AC27" s="19">
        <v>7</v>
      </c>
      <c r="AD27" s="29">
        <v>4.9400000000000001E-6</v>
      </c>
      <c r="AE27" s="29">
        <v>5.4399999999999996E-6</v>
      </c>
      <c r="AF27" s="21">
        <f t="shared" si="12"/>
        <v>7.4142857142857135E-7</v>
      </c>
      <c r="AG27" s="21">
        <f t="shared" si="7"/>
        <v>3.5714285714285672E-8</v>
      </c>
      <c r="AH27" s="22">
        <f t="shared" si="8"/>
        <v>4.8169556840077017E-2</v>
      </c>
      <c r="AI27" s="58" t="s">
        <v>93</v>
      </c>
      <c r="AM27" s="19" t="s">
        <v>54</v>
      </c>
      <c r="AN27" s="105" t="s">
        <v>86</v>
      </c>
      <c r="AO27" s="55">
        <v>40389</v>
      </c>
      <c r="AP27" s="21">
        <f t="shared" si="11"/>
        <v>0.92678571428571421</v>
      </c>
    </row>
    <row r="28" spans="1:50" ht="15" customHeight="1">
      <c r="A28" s="23">
        <v>0.85</v>
      </c>
      <c r="B28" s="21">
        <f t="shared" si="9"/>
        <v>0.99375000000000002</v>
      </c>
      <c r="C28" s="19">
        <f t="shared" si="0"/>
        <v>795</v>
      </c>
      <c r="D28" s="19">
        <v>7.9500000000000001E-7</v>
      </c>
      <c r="E28" s="19">
        <v>9.3750000000000161E-9</v>
      </c>
      <c r="F28" s="21">
        <f t="shared" si="13"/>
        <v>4.6875000000000081E-9</v>
      </c>
      <c r="G28" s="171">
        <f t="shared" si="10"/>
        <v>1.1792452830188699E-2</v>
      </c>
      <c r="H28" s="171">
        <f t="shared" si="14"/>
        <v>5.8962264150943496E-3</v>
      </c>
      <c r="I28" s="56">
        <v>4</v>
      </c>
      <c r="J28" s="21">
        <f t="shared" si="1"/>
        <v>800</v>
      </c>
      <c r="K28" s="31">
        <v>7.9999999999999996E-7</v>
      </c>
      <c r="L28" s="57">
        <v>1E-13</v>
      </c>
      <c r="M28" s="57">
        <f t="shared" si="2"/>
        <v>0.1</v>
      </c>
      <c r="N28" s="19" t="s">
        <v>95</v>
      </c>
      <c r="Q28" s="21"/>
      <c r="R28" s="19">
        <v>0</v>
      </c>
      <c r="S28" s="19" t="s">
        <v>13</v>
      </c>
      <c r="T28" s="31">
        <f t="shared" si="3"/>
        <v>8500000000000</v>
      </c>
      <c r="U28" s="31">
        <f t="shared" si="4"/>
        <v>34000000000000</v>
      </c>
      <c r="V28" s="32">
        <f t="shared" si="5"/>
        <v>3.4</v>
      </c>
      <c r="W28" s="31">
        <f t="shared" si="6"/>
        <v>0.99375000000000002</v>
      </c>
      <c r="X28" s="73">
        <v>7.1999999999999999E-7</v>
      </c>
      <c r="Y28" s="29">
        <v>8.2999999999999999E-7</v>
      </c>
      <c r="Z28" s="21">
        <f>(X28+Y28)/2</f>
        <v>7.7499999999999999E-7</v>
      </c>
      <c r="AA28" s="21">
        <f>(Y28-X28)/2</f>
        <v>5.5000000000000003E-8</v>
      </c>
      <c r="AB28" s="116">
        <f>AA28/Z28</f>
        <v>7.0967741935483872E-2</v>
      </c>
      <c r="AC28" s="56">
        <v>16</v>
      </c>
      <c r="AD28" s="29">
        <v>1.257E-5</v>
      </c>
      <c r="AE28" s="29">
        <v>1.287E-5</v>
      </c>
      <c r="AF28" s="21">
        <f t="shared" si="12"/>
        <v>7.9500000000000001E-7</v>
      </c>
      <c r="AG28" s="21">
        <f t="shared" si="7"/>
        <v>9.3750000000000161E-9</v>
      </c>
      <c r="AH28" s="22">
        <f t="shared" si="8"/>
        <v>1.1792452830188699E-2</v>
      </c>
      <c r="AI28" s="19" t="s">
        <v>19</v>
      </c>
      <c r="AM28" s="19" t="s">
        <v>54</v>
      </c>
      <c r="AN28" s="105" t="s">
        <v>86</v>
      </c>
      <c r="AO28" s="55">
        <v>40245</v>
      </c>
      <c r="AP28" s="21">
        <f t="shared" si="11"/>
        <v>0.99375000000000002</v>
      </c>
    </row>
    <row r="29" spans="1:50" ht="15" customHeight="1">
      <c r="A29" s="23">
        <v>0.1</v>
      </c>
      <c r="B29" s="21">
        <f t="shared" si="9"/>
        <v>0.94044117647058845</v>
      </c>
      <c r="C29" s="19">
        <f t="shared" si="0"/>
        <v>752.35294117647072</v>
      </c>
      <c r="D29" s="19">
        <v>7.523529411764707E-7</v>
      </c>
      <c r="E29" s="19">
        <v>1.2941176470588261E-8</v>
      </c>
      <c r="F29" s="21">
        <f t="shared" si="13"/>
        <v>6.4705882352941307E-9</v>
      </c>
      <c r="G29" s="171">
        <f t="shared" si="10"/>
        <v>1.720093823299456E-2</v>
      </c>
      <c r="H29" s="171">
        <f t="shared" si="14"/>
        <v>8.60046911649728E-3</v>
      </c>
      <c r="I29" s="56">
        <v>5</v>
      </c>
      <c r="J29" s="21">
        <f t="shared" si="1"/>
        <v>800</v>
      </c>
      <c r="K29" s="31">
        <v>7.9999999999999996E-7</v>
      </c>
      <c r="L29" s="57">
        <v>1E-13</v>
      </c>
      <c r="M29" s="57">
        <f t="shared" si="2"/>
        <v>0.1</v>
      </c>
      <c r="N29" s="19" t="s">
        <v>89</v>
      </c>
      <c r="R29" s="19">
        <v>0</v>
      </c>
      <c r="S29" s="19" t="s">
        <v>13</v>
      </c>
      <c r="T29" s="31">
        <f t="shared" si="3"/>
        <v>1000000000000</v>
      </c>
      <c r="U29" s="31">
        <f t="shared" si="4"/>
        <v>5000000000000</v>
      </c>
      <c r="V29" s="32">
        <f t="shared" si="5"/>
        <v>0.5</v>
      </c>
      <c r="W29" s="31">
        <f t="shared" si="6"/>
        <v>0.94044117647058845</v>
      </c>
      <c r="AC29" s="19">
        <v>17</v>
      </c>
      <c r="AD29" s="29">
        <v>1.257E-5</v>
      </c>
      <c r="AE29" s="29">
        <v>1.3010000000000001E-5</v>
      </c>
      <c r="AF29" s="21">
        <f t="shared" si="12"/>
        <v>7.523529411764707E-7</v>
      </c>
      <c r="AG29" s="21">
        <f t="shared" si="7"/>
        <v>1.2941176470588261E-8</v>
      </c>
      <c r="AH29" s="22">
        <f t="shared" si="8"/>
        <v>1.720093823299456E-2</v>
      </c>
      <c r="AI29" s="58" t="s">
        <v>93</v>
      </c>
      <c r="AM29" s="19" t="s">
        <v>54</v>
      </c>
      <c r="AN29" s="105" t="s">
        <v>86</v>
      </c>
      <c r="AO29" s="55">
        <v>40389</v>
      </c>
      <c r="AP29" s="21">
        <f t="shared" si="11"/>
        <v>0.94044117647058845</v>
      </c>
    </row>
    <row r="30" spans="1:50" ht="15" customHeight="1">
      <c r="A30" s="23">
        <v>0.2</v>
      </c>
      <c r="B30" s="21">
        <f t="shared" si="9"/>
        <v>0.9464285714285714</v>
      </c>
      <c r="C30" s="19">
        <f t="shared" si="0"/>
        <v>757.14285714285711</v>
      </c>
      <c r="D30" s="19">
        <v>7.5714285714285714E-7</v>
      </c>
      <c r="E30" s="19">
        <v>1.4285714285714269E-8</v>
      </c>
      <c r="F30" s="21">
        <f t="shared" si="13"/>
        <v>7.1428571428571347E-9</v>
      </c>
      <c r="G30" s="171">
        <f t="shared" si="10"/>
        <v>1.8867924528301865E-2</v>
      </c>
      <c r="H30" s="171">
        <f t="shared" si="14"/>
        <v>9.4339622641509326E-3</v>
      </c>
      <c r="I30" s="19">
        <v>5</v>
      </c>
      <c r="J30" s="21">
        <f t="shared" si="1"/>
        <v>800</v>
      </c>
      <c r="K30" s="31">
        <v>7.9999999999999996E-7</v>
      </c>
      <c r="L30" s="57">
        <v>1E-13</v>
      </c>
      <c r="M30" s="57">
        <f t="shared" si="2"/>
        <v>0.1</v>
      </c>
      <c r="N30" s="19" t="s">
        <v>95</v>
      </c>
      <c r="R30" s="19">
        <v>0</v>
      </c>
      <c r="S30" s="19" t="s">
        <v>13</v>
      </c>
      <c r="T30" s="31">
        <f t="shared" si="3"/>
        <v>2000000000000</v>
      </c>
      <c r="U30" s="31">
        <f t="shared" si="4"/>
        <v>10000000000000</v>
      </c>
      <c r="V30" s="32">
        <f t="shared" si="5"/>
        <v>1</v>
      </c>
      <c r="W30" s="31">
        <f t="shared" si="6"/>
        <v>0.94642857142857151</v>
      </c>
      <c r="X30" s="73">
        <v>6.3E-7</v>
      </c>
      <c r="Y30" s="29">
        <v>7.9999999999999996E-7</v>
      </c>
      <c r="Z30" s="21">
        <f>(X30+Y30)/2</f>
        <v>7.1499999999999993E-7</v>
      </c>
      <c r="AA30" s="21">
        <f>(Y30-X30)/2</f>
        <v>8.499999999999998E-8</v>
      </c>
      <c r="AB30" s="116">
        <f>AA30/Z30</f>
        <v>0.11888111888111887</v>
      </c>
      <c r="AC30" s="19">
        <v>7</v>
      </c>
      <c r="AD30" s="29">
        <v>5.2000000000000002E-6</v>
      </c>
      <c r="AE30" s="29">
        <v>5.4E-6</v>
      </c>
      <c r="AF30" s="21">
        <f t="shared" si="12"/>
        <v>7.5714285714285714E-7</v>
      </c>
      <c r="AG30" s="21">
        <f t="shared" si="7"/>
        <v>1.4285714285714269E-8</v>
      </c>
      <c r="AH30" s="22">
        <f t="shared" si="8"/>
        <v>1.8867924528301865E-2</v>
      </c>
      <c r="AI30" s="19" t="s">
        <v>14</v>
      </c>
      <c r="AJ30" s="19" t="s">
        <v>9</v>
      </c>
      <c r="AM30" s="19" t="s">
        <v>54</v>
      </c>
      <c r="AN30" s="105" t="s">
        <v>86</v>
      </c>
      <c r="AO30" s="55">
        <v>40253</v>
      </c>
      <c r="AP30" s="21">
        <f t="shared" si="11"/>
        <v>0.94642857142857151</v>
      </c>
    </row>
    <row r="31" spans="1:50" ht="15" customHeight="1">
      <c r="A31" s="23">
        <v>0.2</v>
      </c>
      <c r="B31" s="21">
        <f t="shared" si="9"/>
        <v>0.91770833333333346</v>
      </c>
      <c r="C31" s="19">
        <f t="shared" si="0"/>
        <v>734.16666666666674</v>
      </c>
      <c r="D31" s="19">
        <v>7.341666666666667E-7</v>
      </c>
      <c r="E31" s="19">
        <v>1.8333333333333299E-8</v>
      </c>
      <c r="F31" s="21">
        <f t="shared" si="13"/>
        <v>9.1666666666666495E-9</v>
      </c>
      <c r="G31" s="171">
        <f t="shared" si="10"/>
        <v>2.4971623155505059E-2</v>
      </c>
      <c r="H31" s="171">
        <f t="shared" si="14"/>
        <v>1.2485811577752529E-2</v>
      </c>
      <c r="I31" s="56">
        <v>5</v>
      </c>
      <c r="J31" s="21">
        <f t="shared" si="1"/>
        <v>800</v>
      </c>
      <c r="K31" s="31">
        <v>7.9999999999999996E-7</v>
      </c>
      <c r="L31" s="57">
        <v>1E-13</v>
      </c>
      <c r="M31" s="57">
        <f t="shared" si="2"/>
        <v>0.1</v>
      </c>
      <c r="N31" s="19" t="s">
        <v>89</v>
      </c>
      <c r="R31" s="19">
        <v>0</v>
      </c>
      <c r="S31" s="19" t="s">
        <v>13</v>
      </c>
      <c r="T31" s="31">
        <f t="shared" si="3"/>
        <v>2000000000000</v>
      </c>
      <c r="U31" s="31">
        <f t="shared" si="4"/>
        <v>10000000000000</v>
      </c>
      <c r="V31" s="32">
        <f t="shared" si="5"/>
        <v>1</v>
      </c>
      <c r="W31" s="31">
        <f t="shared" si="6"/>
        <v>0.91770833333333346</v>
      </c>
      <c r="AC31" s="19">
        <v>12</v>
      </c>
      <c r="AD31" s="29">
        <v>8.5900000000000008E-6</v>
      </c>
      <c r="AE31" s="29">
        <v>9.0299999999999999E-6</v>
      </c>
      <c r="AF31" s="21">
        <f t="shared" si="12"/>
        <v>7.341666666666667E-7</v>
      </c>
      <c r="AG31" s="21">
        <f t="shared" si="7"/>
        <v>1.8333333333333299E-8</v>
      </c>
      <c r="AH31" s="22">
        <f t="shared" si="8"/>
        <v>2.4971623155505059E-2</v>
      </c>
      <c r="AI31" s="58" t="s">
        <v>93</v>
      </c>
      <c r="AM31" s="19" t="s">
        <v>54</v>
      </c>
      <c r="AN31" s="105" t="s">
        <v>86</v>
      </c>
      <c r="AO31" s="55">
        <v>40389</v>
      </c>
      <c r="AP31" s="21">
        <f t="shared" si="11"/>
        <v>0.91770833333333346</v>
      </c>
    </row>
    <row r="32" spans="1:50" s="16" customFormat="1" ht="15" customHeight="1">
      <c r="A32" s="15">
        <v>0.28799999999999998</v>
      </c>
      <c r="B32" s="21">
        <f t="shared" si="9"/>
        <v>0.89375000000000004</v>
      </c>
      <c r="C32" s="19">
        <f t="shared" si="0"/>
        <v>715</v>
      </c>
      <c r="D32" s="16">
        <v>7.1500000000000004E-7</v>
      </c>
      <c r="E32" s="16">
        <v>3.2500000000000006E-8</v>
      </c>
      <c r="F32" s="21">
        <f t="shared" si="13"/>
        <v>1.6250000000000003E-8</v>
      </c>
      <c r="G32" s="171">
        <f t="shared" si="10"/>
        <v>4.5454545454545463E-2</v>
      </c>
      <c r="H32" s="171">
        <f t="shared" si="14"/>
        <v>2.2727272727272731E-2</v>
      </c>
      <c r="I32" s="60">
        <v>5</v>
      </c>
      <c r="J32" s="21">
        <f t="shared" si="1"/>
        <v>800</v>
      </c>
      <c r="K32" s="34">
        <v>7.9999999999999996E-7</v>
      </c>
      <c r="L32" s="61">
        <v>1E-13</v>
      </c>
      <c r="M32" s="61">
        <f t="shared" si="2"/>
        <v>0.1</v>
      </c>
      <c r="N32" s="16" t="s">
        <v>95</v>
      </c>
      <c r="R32" s="16">
        <v>0</v>
      </c>
      <c r="S32" s="16" t="s">
        <v>13</v>
      </c>
      <c r="T32" s="34">
        <f t="shared" si="3"/>
        <v>2879999999999.9995</v>
      </c>
      <c r="U32" s="34">
        <f t="shared" si="4"/>
        <v>14399999999999.998</v>
      </c>
      <c r="V32" s="36">
        <f t="shared" si="5"/>
        <v>1.44</v>
      </c>
      <c r="W32" s="34">
        <f t="shared" si="6"/>
        <v>0.89375000000000004</v>
      </c>
      <c r="X32" s="122"/>
      <c r="Y32" s="62"/>
      <c r="AB32" s="114"/>
      <c r="AC32" s="60">
        <v>4</v>
      </c>
      <c r="AD32" s="63">
        <v>2.7300000000000001E-6</v>
      </c>
      <c r="AE32" s="63">
        <v>2.9900000000000002E-6</v>
      </c>
      <c r="AF32" s="35">
        <f t="shared" si="12"/>
        <v>7.1500000000000004E-7</v>
      </c>
      <c r="AG32" s="35">
        <f t="shared" si="7"/>
        <v>3.2500000000000006E-8</v>
      </c>
      <c r="AH32" s="64">
        <f t="shared" si="8"/>
        <v>4.5454545454545463E-2</v>
      </c>
      <c r="AI32" s="16" t="s">
        <v>17</v>
      </c>
      <c r="AM32" s="19" t="s">
        <v>54</v>
      </c>
      <c r="AN32" s="105" t="s">
        <v>86</v>
      </c>
      <c r="AO32" s="59">
        <v>40245</v>
      </c>
      <c r="AP32" s="21">
        <f t="shared" si="11"/>
        <v>0.89375000000000004</v>
      </c>
    </row>
    <row r="33" spans="1:50" s="25" customFormat="1" ht="15" customHeight="1">
      <c r="A33" s="142">
        <v>0.313</v>
      </c>
      <c r="B33" s="21">
        <f t="shared" si="9"/>
        <v>0.80729166666666652</v>
      </c>
      <c r="C33" s="132">
        <f t="shared" si="0"/>
        <v>645.83333333333326</v>
      </c>
      <c r="D33" s="143">
        <v>6.4583333333333322E-7</v>
      </c>
      <c r="E33" s="143">
        <v>9.1666666666666495E-9</v>
      </c>
      <c r="F33" s="21">
        <f t="shared" si="13"/>
        <v>4.5833333333333247E-9</v>
      </c>
      <c r="G33" s="171">
        <f t="shared" si="10"/>
        <v>1.4193548387096751E-2</v>
      </c>
      <c r="H33" s="171">
        <f t="shared" si="14"/>
        <v>7.0967741935483754E-3</v>
      </c>
      <c r="I33" s="144">
        <v>5</v>
      </c>
      <c r="J33" s="21">
        <f t="shared" si="1"/>
        <v>800</v>
      </c>
      <c r="K33" s="145">
        <v>7.9999999999999996E-7</v>
      </c>
      <c r="L33" s="146">
        <v>1E-13</v>
      </c>
      <c r="M33" s="146">
        <f t="shared" si="2"/>
        <v>0.1</v>
      </c>
      <c r="N33" s="143" t="s">
        <v>95</v>
      </c>
      <c r="O33" s="143"/>
      <c r="P33" s="143"/>
      <c r="Q33" s="143"/>
      <c r="R33" s="143">
        <v>0</v>
      </c>
      <c r="S33" s="143" t="s">
        <v>13</v>
      </c>
      <c r="T33" s="145">
        <f t="shared" si="3"/>
        <v>3130000000000</v>
      </c>
      <c r="U33" s="145">
        <f t="shared" si="4"/>
        <v>15650000000000</v>
      </c>
      <c r="V33" s="147">
        <f t="shared" si="5"/>
        <v>1.5649999999999999</v>
      </c>
      <c r="W33" s="145">
        <f t="shared" si="6"/>
        <v>0.80729166666666652</v>
      </c>
      <c r="X33" s="142"/>
      <c r="Y33" s="143"/>
      <c r="Z33" s="143"/>
      <c r="AA33" s="143"/>
      <c r="AB33" s="148"/>
      <c r="AC33" s="144">
        <v>6</v>
      </c>
      <c r="AD33" s="149">
        <v>3.8199999999999998E-6</v>
      </c>
      <c r="AE33" s="149">
        <v>3.9299999999999996E-6</v>
      </c>
      <c r="AF33" s="149">
        <f t="shared" si="12"/>
        <v>6.4583333333333322E-7</v>
      </c>
      <c r="AG33" s="149">
        <f t="shared" si="7"/>
        <v>9.1666666666666495E-9</v>
      </c>
      <c r="AH33" s="150">
        <f t="shared" si="8"/>
        <v>1.4193548387096751E-2</v>
      </c>
      <c r="AI33" s="143" t="s">
        <v>18</v>
      </c>
      <c r="AJ33" s="143"/>
      <c r="AK33" s="143"/>
      <c r="AL33" s="143"/>
      <c r="AM33" s="132" t="s">
        <v>54</v>
      </c>
      <c r="AN33" s="139" t="s">
        <v>86</v>
      </c>
      <c r="AO33" s="151">
        <v>40245</v>
      </c>
      <c r="AP33" s="21">
        <f t="shared" si="11"/>
        <v>0.80729166666666652</v>
      </c>
      <c r="AQ33" s="143"/>
      <c r="AR33" s="143"/>
      <c r="AS33" s="143"/>
      <c r="AT33" s="143"/>
      <c r="AU33" s="143"/>
      <c r="AV33" s="143"/>
      <c r="AW33" s="143"/>
      <c r="AX33" s="143"/>
    </row>
    <row r="34" spans="1:50" ht="15" customHeight="1">
      <c r="A34" s="23">
        <v>0.5</v>
      </c>
      <c r="B34" s="21">
        <f t="shared" si="9"/>
        <v>0.99</v>
      </c>
      <c r="C34" s="19">
        <f t="shared" ref="C34:C65" si="15">1000000000*D34</f>
        <v>792</v>
      </c>
      <c r="D34" s="19">
        <v>7.92E-7</v>
      </c>
      <c r="E34" s="19">
        <v>3.2000000000000035E-8</v>
      </c>
      <c r="F34" s="21">
        <f t="shared" si="13"/>
        <v>1.6000000000000018E-8</v>
      </c>
      <c r="G34" s="171">
        <f t="shared" si="10"/>
        <v>4.0404040404040449E-2</v>
      </c>
      <c r="H34" s="171">
        <f t="shared" si="14"/>
        <v>2.0202020202020225E-2</v>
      </c>
      <c r="I34" s="56">
        <v>5</v>
      </c>
      <c r="J34" s="21">
        <f t="shared" ref="J34:J65" si="16">1000000000*K34</f>
        <v>800</v>
      </c>
      <c r="K34" s="31">
        <v>7.9999999999999996E-7</v>
      </c>
      <c r="L34" s="57">
        <v>1E-13</v>
      </c>
      <c r="M34" s="57">
        <f t="shared" ref="M34:M65" si="17">L34*1000000000000</f>
        <v>0.1</v>
      </c>
      <c r="N34" s="19" t="s">
        <v>89</v>
      </c>
      <c r="R34" s="19">
        <v>0</v>
      </c>
      <c r="S34" s="19" t="s">
        <v>13</v>
      </c>
      <c r="T34" s="31">
        <f t="shared" ref="T34:T65" si="18">A34/L34</f>
        <v>5000000000000</v>
      </c>
      <c r="U34" s="31">
        <f t="shared" ref="U34:U65" si="19">I34*T34</f>
        <v>25000000000000</v>
      </c>
      <c r="V34" s="32">
        <f t="shared" ref="V34:V65" si="20">I34*A34</f>
        <v>2.5</v>
      </c>
      <c r="W34" s="31">
        <f t="shared" si="6"/>
        <v>0.99</v>
      </c>
      <c r="AC34" s="19">
        <v>10</v>
      </c>
      <c r="AD34" s="29">
        <v>7.6000000000000001E-6</v>
      </c>
      <c r="AE34" s="29">
        <v>8.2400000000000007E-6</v>
      </c>
      <c r="AF34" s="21">
        <f t="shared" si="12"/>
        <v>7.92E-7</v>
      </c>
      <c r="AG34" s="21">
        <f t="shared" si="7"/>
        <v>3.2000000000000035E-8</v>
      </c>
      <c r="AH34" s="22">
        <f t="shared" si="8"/>
        <v>4.0404040404040449E-2</v>
      </c>
      <c r="AI34" s="58" t="s">
        <v>93</v>
      </c>
      <c r="AM34" s="19" t="s">
        <v>54</v>
      </c>
      <c r="AN34" s="105" t="s">
        <v>86</v>
      </c>
      <c r="AO34" s="55">
        <v>40389</v>
      </c>
      <c r="AP34" s="21">
        <f t="shared" si="11"/>
        <v>0.99</v>
      </c>
    </row>
    <row r="35" spans="1:50" ht="15" customHeight="1">
      <c r="A35" s="23">
        <v>0.8</v>
      </c>
      <c r="B35" s="21">
        <f t="shared" si="9"/>
        <v>1.0274999999999999</v>
      </c>
      <c r="C35" s="19">
        <f t="shared" si="15"/>
        <v>821.99999999999989</v>
      </c>
      <c r="D35" s="19">
        <v>8.2199999999999992E-7</v>
      </c>
      <c r="E35" s="19">
        <v>1.7000000000000007E-8</v>
      </c>
      <c r="F35" s="21">
        <f t="shared" si="13"/>
        <v>8.5000000000000033E-9</v>
      </c>
      <c r="G35" s="171">
        <f t="shared" si="10"/>
        <v>2.0681265206812662E-2</v>
      </c>
      <c r="H35" s="171">
        <f t="shared" si="14"/>
        <v>1.0340632603406331E-2</v>
      </c>
      <c r="I35" s="56">
        <v>5</v>
      </c>
      <c r="J35" s="21">
        <f t="shared" si="16"/>
        <v>800</v>
      </c>
      <c r="K35" s="31">
        <v>7.9999999999999996E-7</v>
      </c>
      <c r="L35" s="57">
        <v>1E-13</v>
      </c>
      <c r="M35" s="57">
        <f t="shared" si="17"/>
        <v>0.1</v>
      </c>
      <c r="N35" s="19" t="s">
        <v>89</v>
      </c>
      <c r="R35" s="19">
        <v>0</v>
      </c>
      <c r="S35" s="19" t="s">
        <v>13</v>
      </c>
      <c r="T35" s="31">
        <f t="shared" si="18"/>
        <v>8000000000000</v>
      </c>
      <c r="U35" s="31">
        <f t="shared" si="19"/>
        <v>40000000000000</v>
      </c>
      <c r="V35" s="32">
        <f t="shared" si="20"/>
        <v>4</v>
      </c>
      <c r="W35" s="31">
        <f t="shared" si="6"/>
        <v>1.0274999999999999</v>
      </c>
      <c r="AC35" s="19">
        <v>10</v>
      </c>
      <c r="AD35" s="29">
        <v>8.0499999999999992E-6</v>
      </c>
      <c r="AE35" s="29">
        <v>8.3899999999999993E-6</v>
      </c>
      <c r="AF35" s="21">
        <f t="shared" si="12"/>
        <v>8.2199999999999992E-7</v>
      </c>
      <c r="AG35" s="21">
        <f t="shared" si="7"/>
        <v>1.7000000000000007E-8</v>
      </c>
      <c r="AH35" s="22">
        <f t="shared" si="8"/>
        <v>2.0681265206812662E-2</v>
      </c>
      <c r="AI35" s="58" t="s">
        <v>93</v>
      </c>
      <c r="AM35" s="19" t="s">
        <v>54</v>
      </c>
      <c r="AN35" s="105" t="s">
        <v>86</v>
      </c>
      <c r="AO35" s="55">
        <v>40389</v>
      </c>
      <c r="AP35" s="21">
        <f t="shared" si="11"/>
        <v>1.0274999999999999</v>
      </c>
    </row>
    <row r="36" spans="1:50" s="16" customFormat="1" ht="15" customHeight="1">
      <c r="A36" s="15">
        <v>0.85</v>
      </c>
      <c r="B36" s="21">
        <f t="shared" si="9"/>
        <v>1.0007812500000002</v>
      </c>
      <c r="C36" s="19">
        <f t="shared" si="15"/>
        <v>800.62500000000011</v>
      </c>
      <c r="D36" s="16">
        <v>8.0062500000000006E-7</v>
      </c>
      <c r="E36" s="16">
        <v>1.8124999999999985E-8</v>
      </c>
      <c r="F36" s="21">
        <f t="shared" si="13"/>
        <v>9.0624999999999926E-9</v>
      </c>
      <c r="G36" s="171">
        <f t="shared" si="10"/>
        <v>2.263856362217016E-2</v>
      </c>
      <c r="H36" s="171">
        <f t="shared" si="14"/>
        <v>1.131928181108508E-2</v>
      </c>
      <c r="I36" s="60">
        <v>5</v>
      </c>
      <c r="J36" s="21">
        <f t="shared" si="16"/>
        <v>800</v>
      </c>
      <c r="K36" s="34">
        <v>7.9999999999999996E-7</v>
      </c>
      <c r="L36" s="61">
        <v>1E-13</v>
      </c>
      <c r="M36" s="61">
        <f t="shared" si="17"/>
        <v>0.1</v>
      </c>
      <c r="N36" s="16" t="s">
        <v>95</v>
      </c>
      <c r="Q36" s="35"/>
      <c r="R36" s="16">
        <v>0</v>
      </c>
      <c r="S36" s="16" t="s">
        <v>13</v>
      </c>
      <c r="T36" s="34">
        <f t="shared" si="18"/>
        <v>8500000000000</v>
      </c>
      <c r="U36" s="34">
        <f t="shared" si="19"/>
        <v>42500000000000</v>
      </c>
      <c r="V36" s="36">
        <f t="shared" si="20"/>
        <v>4.25</v>
      </c>
      <c r="W36" s="34">
        <f t="shared" si="6"/>
        <v>1.0007812500000002</v>
      </c>
      <c r="X36" s="126">
        <v>7.4000000000000001E-7</v>
      </c>
      <c r="Y36" s="63">
        <v>8.8000000000000004E-7</v>
      </c>
      <c r="Z36" s="35">
        <f>(X36+Y36)/2</f>
        <v>8.1000000000000008E-7</v>
      </c>
      <c r="AA36" s="35">
        <f>(Y36-X36)/2</f>
        <v>7.0000000000000018E-8</v>
      </c>
      <c r="AB36" s="117">
        <f>AA36/Z36</f>
        <v>8.6419753086419762E-2</v>
      </c>
      <c r="AC36" s="60">
        <v>8</v>
      </c>
      <c r="AD36" s="63">
        <v>6.2600000000000002E-6</v>
      </c>
      <c r="AE36" s="63">
        <v>6.55E-6</v>
      </c>
      <c r="AF36" s="35">
        <f t="shared" si="12"/>
        <v>8.0062500000000006E-7</v>
      </c>
      <c r="AG36" s="35">
        <f t="shared" si="7"/>
        <v>1.8124999999999985E-8</v>
      </c>
      <c r="AH36" s="64">
        <f t="shared" si="8"/>
        <v>2.263856362217016E-2</v>
      </c>
      <c r="AI36" s="16" t="s">
        <v>19</v>
      </c>
      <c r="AM36" s="19" t="s">
        <v>54</v>
      </c>
      <c r="AN36" s="105" t="s">
        <v>86</v>
      </c>
      <c r="AO36" s="59">
        <v>40245</v>
      </c>
      <c r="AP36" s="21">
        <f t="shared" si="11"/>
        <v>1.0007812500000002</v>
      </c>
    </row>
    <row r="37" spans="1:50" s="25" customFormat="1" ht="15" customHeight="1">
      <c r="A37" s="24">
        <v>0.1</v>
      </c>
      <c r="B37" s="21">
        <f t="shared" si="9"/>
        <v>0.97624999999999995</v>
      </c>
      <c r="C37" s="19">
        <f t="shared" si="15"/>
        <v>781</v>
      </c>
      <c r="D37" s="25">
        <v>7.8100000000000002E-7</v>
      </c>
      <c r="E37" s="25">
        <v>3.1999999999999989E-8</v>
      </c>
      <c r="F37" s="21">
        <f t="shared" si="13"/>
        <v>1.5999999999999994E-8</v>
      </c>
      <c r="G37" s="171">
        <f t="shared" si="10"/>
        <v>4.0973111395646591E-2</v>
      </c>
      <c r="H37" s="171">
        <f t="shared" si="14"/>
        <v>2.0486555697823296E-2</v>
      </c>
      <c r="I37" s="50">
        <v>6</v>
      </c>
      <c r="J37" s="21">
        <f t="shared" si="16"/>
        <v>800</v>
      </c>
      <c r="K37" s="49">
        <v>7.9999999999999996E-7</v>
      </c>
      <c r="L37" s="51">
        <v>1E-13</v>
      </c>
      <c r="M37" s="51">
        <f t="shared" si="17"/>
        <v>0.1</v>
      </c>
      <c r="N37" s="25" t="s">
        <v>89</v>
      </c>
      <c r="R37" s="25">
        <v>0</v>
      </c>
      <c r="S37" s="25" t="s">
        <v>13</v>
      </c>
      <c r="T37" s="49">
        <f t="shared" si="18"/>
        <v>1000000000000</v>
      </c>
      <c r="U37" s="49">
        <f t="shared" si="19"/>
        <v>6000000000000</v>
      </c>
      <c r="V37" s="52">
        <f t="shared" si="20"/>
        <v>0.60000000000000009</v>
      </c>
      <c r="W37" s="49">
        <f t="shared" si="6"/>
        <v>0.97625000000000006</v>
      </c>
      <c r="X37" s="123"/>
      <c r="Y37" s="53"/>
      <c r="AB37" s="115"/>
      <c r="AC37" s="25">
        <v>10</v>
      </c>
      <c r="AD37" s="28">
        <v>7.4900000000000003E-6</v>
      </c>
      <c r="AE37" s="28">
        <v>8.1300000000000001E-6</v>
      </c>
      <c r="AF37" s="17">
        <f t="shared" si="12"/>
        <v>7.8100000000000002E-7</v>
      </c>
      <c r="AG37" s="17">
        <f t="shared" si="7"/>
        <v>3.1999999999999989E-8</v>
      </c>
      <c r="AH37" s="18">
        <f t="shared" si="8"/>
        <v>4.0973111395646591E-2</v>
      </c>
      <c r="AI37" s="54" t="s">
        <v>93</v>
      </c>
      <c r="AM37" s="19" t="s">
        <v>54</v>
      </c>
      <c r="AN37" s="105" t="s">
        <v>86</v>
      </c>
      <c r="AO37" s="48">
        <v>40389</v>
      </c>
      <c r="AP37" s="21">
        <f t="shared" si="11"/>
        <v>0.97625000000000006</v>
      </c>
    </row>
    <row r="38" spans="1:50" ht="15" customHeight="1">
      <c r="A38" s="23">
        <v>0.2</v>
      </c>
      <c r="B38" s="21">
        <f t="shared" si="9"/>
        <v>0.90486111111111112</v>
      </c>
      <c r="C38" s="19">
        <f t="shared" si="15"/>
        <v>723.88888888888891</v>
      </c>
      <c r="D38" s="19">
        <v>7.2388888888888897E-7</v>
      </c>
      <c r="E38" s="19">
        <v>1.0555555555555549E-8</v>
      </c>
      <c r="F38" s="21">
        <f t="shared" si="13"/>
        <v>5.2777777777777743E-9</v>
      </c>
      <c r="G38" s="171">
        <f t="shared" si="10"/>
        <v>1.4581734458940895E-2</v>
      </c>
      <c r="H38" s="171">
        <f t="shared" si="14"/>
        <v>7.2908672294704473E-3</v>
      </c>
      <c r="I38" s="19">
        <v>6</v>
      </c>
      <c r="J38" s="21">
        <f t="shared" si="16"/>
        <v>800</v>
      </c>
      <c r="K38" s="31">
        <v>7.9999999999999996E-7</v>
      </c>
      <c r="L38" s="57">
        <v>1E-13</v>
      </c>
      <c r="M38" s="57">
        <f t="shared" si="17"/>
        <v>0.1</v>
      </c>
      <c r="N38" s="19" t="s">
        <v>95</v>
      </c>
      <c r="R38" s="19">
        <v>0</v>
      </c>
      <c r="S38" s="19" t="s">
        <v>13</v>
      </c>
      <c r="T38" s="31">
        <f t="shared" si="18"/>
        <v>2000000000000</v>
      </c>
      <c r="U38" s="31">
        <f t="shared" si="19"/>
        <v>12000000000000</v>
      </c>
      <c r="V38" s="32">
        <f t="shared" si="20"/>
        <v>1.2000000000000002</v>
      </c>
      <c r="W38" s="31">
        <f t="shared" si="6"/>
        <v>0.90486111111111123</v>
      </c>
      <c r="X38" s="73">
        <v>5.8999999999999996E-7</v>
      </c>
      <c r="Y38" s="29">
        <v>8.1999999999999998E-7</v>
      </c>
      <c r="Z38" s="21">
        <f>(X38+Y38)/2</f>
        <v>7.0500000000000003E-7</v>
      </c>
      <c r="AA38" s="21">
        <f>(Y38-X38)/2</f>
        <v>1.1500000000000001E-7</v>
      </c>
      <c r="AB38" s="116">
        <f>AA38/Z38</f>
        <v>0.16312056737588654</v>
      </c>
      <c r="AC38" s="19">
        <v>9</v>
      </c>
      <c r="AD38" s="29">
        <v>6.4200000000000004E-6</v>
      </c>
      <c r="AE38" s="29">
        <v>6.6100000000000002E-6</v>
      </c>
      <c r="AF38" s="21">
        <f t="shared" si="12"/>
        <v>7.2388888888888897E-7</v>
      </c>
      <c r="AG38" s="21">
        <f t="shared" si="7"/>
        <v>1.0555555555555549E-8</v>
      </c>
      <c r="AH38" s="22">
        <f t="shared" si="8"/>
        <v>1.4581734458940895E-2</v>
      </c>
      <c r="AI38" s="19" t="s">
        <v>14</v>
      </c>
      <c r="AJ38" s="19" t="s">
        <v>9</v>
      </c>
      <c r="AM38" s="19" t="s">
        <v>54</v>
      </c>
      <c r="AN38" s="105" t="s">
        <v>86</v>
      </c>
      <c r="AO38" s="48">
        <v>40253</v>
      </c>
      <c r="AP38" s="21">
        <f t="shared" si="11"/>
        <v>0.90486111111111123</v>
      </c>
    </row>
    <row r="39" spans="1:50" s="132" customFormat="1" ht="15" customHeight="1">
      <c r="A39" s="23">
        <v>0.2</v>
      </c>
      <c r="B39" s="21">
        <f t="shared" si="9"/>
        <v>1.02125</v>
      </c>
      <c r="C39" s="19">
        <f t="shared" si="15"/>
        <v>817</v>
      </c>
      <c r="D39" s="19">
        <v>8.1699999999999997E-7</v>
      </c>
      <c r="E39" s="19">
        <v>7.4999999999999957E-8</v>
      </c>
      <c r="F39" s="21">
        <f t="shared" si="13"/>
        <v>3.7499999999999978E-8</v>
      </c>
      <c r="G39" s="171">
        <f t="shared" si="10"/>
        <v>9.1799265605875105E-2</v>
      </c>
      <c r="H39" s="171">
        <f t="shared" si="14"/>
        <v>4.5899632802937552E-2</v>
      </c>
      <c r="I39" s="56">
        <v>6</v>
      </c>
      <c r="J39" s="21">
        <f t="shared" si="16"/>
        <v>800</v>
      </c>
      <c r="K39" s="31">
        <v>7.9999999999999996E-7</v>
      </c>
      <c r="L39" s="57">
        <v>1E-13</v>
      </c>
      <c r="M39" s="57">
        <f t="shared" si="17"/>
        <v>0.1</v>
      </c>
      <c r="N39" s="19" t="s">
        <v>89</v>
      </c>
      <c r="O39" s="19"/>
      <c r="P39" s="19"/>
      <c r="Q39" s="19"/>
      <c r="R39" s="19">
        <v>0</v>
      </c>
      <c r="S39" s="19" t="s">
        <v>13</v>
      </c>
      <c r="T39" s="31">
        <f t="shared" si="18"/>
        <v>2000000000000</v>
      </c>
      <c r="U39" s="31">
        <f t="shared" si="19"/>
        <v>12000000000000</v>
      </c>
      <c r="V39" s="32">
        <f t="shared" si="20"/>
        <v>1.2000000000000002</v>
      </c>
      <c r="W39" s="31">
        <f t="shared" si="6"/>
        <v>1.02125</v>
      </c>
      <c r="X39" s="81"/>
      <c r="Y39" s="26"/>
      <c r="Z39" s="19"/>
      <c r="AA39" s="19"/>
      <c r="AB39" s="20"/>
      <c r="AC39" s="19">
        <v>5</v>
      </c>
      <c r="AD39" s="29">
        <v>3.7100000000000001E-6</v>
      </c>
      <c r="AE39" s="29">
        <v>4.4599999999999996E-6</v>
      </c>
      <c r="AF39" s="21">
        <f t="shared" si="12"/>
        <v>8.1699999999999997E-7</v>
      </c>
      <c r="AG39" s="21">
        <f t="shared" si="7"/>
        <v>7.4999999999999957E-8</v>
      </c>
      <c r="AH39" s="22">
        <f t="shared" si="8"/>
        <v>9.1799265605875105E-2</v>
      </c>
      <c r="AI39" s="58" t="s">
        <v>93</v>
      </c>
      <c r="AJ39" s="19"/>
      <c r="AK39" s="19"/>
      <c r="AL39" s="19"/>
      <c r="AM39" s="19" t="s">
        <v>54</v>
      </c>
      <c r="AN39" s="105" t="s">
        <v>86</v>
      </c>
      <c r="AO39" s="55">
        <v>40389</v>
      </c>
      <c r="AP39" s="21">
        <f t="shared" si="11"/>
        <v>1.02125</v>
      </c>
      <c r="AQ39" s="19"/>
      <c r="AR39" s="19"/>
      <c r="AS39" s="19"/>
      <c r="AT39" s="19"/>
      <c r="AU39" s="19"/>
      <c r="AV39" s="19"/>
      <c r="AW39" s="19"/>
      <c r="AX39" s="19"/>
    </row>
    <row r="40" spans="1:50" s="132" customFormat="1" ht="15" customHeight="1">
      <c r="A40" s="23">
        <v>0.28799999999999998</v>
      </c>
      <c r="B40" s="21">
        <f t="shared" si="9"/>
        <v>0.89375000000000004</v>
      </c>
      <c r="C40" s="19">
        <f t="shared" si="15"/>
        <v>715</v>
      </c>
      <c r="D40" s="19">
        <v>7.1500000000000004E-7</v>
      </c>
      <c r="E40" s="19">
        <v>1.8999999999999988E-8</v>
      </c>
      <c r="F40" s="21">
        <f t="shared" si="13"/>
        <v>9.4999999999999941E-9</v>
      </c>
      <c r="G40" s="171">
        <f t="shared" si="10"/>
        <v>2.6573426573426557E-2</v>
      </c>
      <c r="H40" s="171">
        <f t="shared" si="14"/>
        <v>1.3286713286713278E-2</v>
      </c>
      <c r="I40" s="56">
        <v>6</v>
      </c>
      <c r="J40" s="21">
        <f t="shared" si="16"/>
        <v>800</v>
      </c>
      <c r="K40" s="31">
        <v>7.9999999999999996E-7</v>
      </c>
      <c r="L40" s="57">
        <v>1E-13</v>
      </c>
      <c r="M40" s="57">
        <f t="shared" si="17"/>
        <v>0.1</v>
      </c>
      <c r="N40" s="19" t="s">
        <v>95</v>
      </c>
      <c r="O40" s="19"/>
      <c r="P40" s="19"/>
      <c r="Q40" s="19"/>
      <c r="R40" s="19">
        <v>0</v>
      </c>
      <c r="S40" s="19" t="s">
        <v>13</v>
      </c>
      <c r="T40" s="31">
        <f t="shared" si="18"/>
        <v>2879999999999.9995</v>
      </c>
      <c r="U40" s="31">
        <f t="shared" si="19"/>
        <v>17279999999999.996</v>
      </c>
      <c r="V40" s="32">
        <f t="shared" si="20"/>
        <v>1.7279999999999998</v>
      </c>
      <c r="W40" s="31">
        <f t="shared" si="6"/>
        <v>0.89375000000000004</v>
      </c>
      <c r="X40" s="81"/>
      <c r="Y40" s="26"/>
      <c r="Z40" s="19"/>
      <c r="AA40" s="19"/>
      <c r="AB40" s="20"/>
      <c r="AC40" s="56">
        <v>5</v>
      </c>
      <c r="AD40" s="29">
        <v>3.4800000000000001E-6</v>
      </c>
      <c r="AE40" s="29">
        <v>3.67E-6</v>
      </c>
      <c r="AF40" s="21">
        <f t="shared" si="12"/>
        <v>7.1500000000000004E-7</v>
      </c>
      <c r="AG40" s="21">
        <f t="shared" si="7"/>
        <v>1.8999999999999988E-8</v>
      </c>
      <c r="AH40" s="22">
        <f t="shared" si="8"/>
        <v>2.6573426573426557E-2</v>
      </c>
      <c r="AI40" s="19" t="s">
        <v>17</v>
      </c>
      <c r="AJ40" s="19"/>
      <c r="AK40" s="19"/>
      <c r="AL40" s="19"/>
      <c r="AM40" s="19" t="s">
        <v>54</v>
      </c>
      <c r="AN40" s="105" t="s">
        <v>86</v>
      </c>
      <c r="AO40" s="55">
        <v>40245</v>
      </c>
      <c r="AP40" s="21">
        <f t="shared" si="11"/>
        <v>0.89375000000000004</v>
      </c>
      <c r="AQ40" s="19"/>
      <c r="AR40" s="19"/>
      <c r="AS40" s="19"/>
      <c r="AT40" s="19"/>
      <c r="AU40" s="19"/>
      <c r="AV40" s="19"/>
      <c r="AW40" s="19"/>
      <c r="AX40" s="19"/>
    </row>
    <row r="41" spans="1:50" s="132" customFormat="1" ht="15" customHeight="1">
      <c r="A41" s="131">
        <v>0.313</v>
      </c>
      <c r="B41" s="21">
        <f t="shared" si="9"/>
        <v>0.97968749999999982</v>
      </c>
      <c r="C41" s="132">
        <f t="shared" si="15"/>
        <v>783.74999999999989</v>
      </c>
      <c r="D41" s="132">
        <v>7.8374999999999991E-7</v>
      </c>
      <c r="E41" s="132">
        <v>6.2499999999999931E-9</v>
      </c>
      <c r="F41" s="21">
        <f t="shared" si="13"/>
        <v>3.1249999999999965E-9</v>
      </c>
      <c r="G41" s="171">
        <f t="shared" si="10"/>
        <v>7.9744816586921775E-3</v>
      </c>
      <c r="H41" s="171">
        <f t="shared" si="14"/>
        <v>3.9872408293460887E-3</v>
      </c>
      <c r="I41" s="133">
        <v>6</v>
      </c>
      <c r="J41" s="21">
        <f t="shared" si="16"/>
        <v>800</v>
      </c>
      <c r="K41" s="134">
        <v>7.9999999999999996E-7</v>
      </c>
      <c r="L41" s="135">
        <v>1E-13</v>
      </c>
      <c r="M41" s="135">
        <f t="shared" si="17"/>
        <v>0.1</v>
      </c>
      <c r="N41" s="132" t="s">
        <v>95</v>
      </c>
      <c r="R41" s="132">
        <v>0</v>
      </c>
      <c r="S41" s="132" t="s">
        <v>13</v>
      </c>
      <c r="T41" s="134">
        <f t="shared" si="18"/>
        <v>3130000000000</v>
      </c>
      <c r="U41" s="134">
        <f t="shared" si="19"/>
        <v>18780000000000</v>
      </c>
      <c r="V41" s="136">
        <f t="shared" si="20"/>
        <v>1.8780000000000001</v>
      </c>
      <c r="W41" s="134">
        <f t="shared" si="6"/>
        <v>0.97968749999999993</v>
      </c>
      <c r="X41" s="131"/>
      <c r="AB41" s="137"/>
      <c r="AC41" s="133">
        <v>8</v>
      </c>
      <c r="AD41" s="71">
        <v>6.2199999999999997E-6</v>
      </c>
      <c r="AE41" s="71">
        <v>6.3199999999999996E-6</v>
      </c>
      <c r="AF41" s="71">
        <f t="shared" si="12"/>
        <v>7.8374999999999991E-7</v>
      </c>
      <c r="AG41" s="71">
        <f t="shared" si="7"/>
        <v>6.2499999999999931E-9</v>
      </c>
      <c r="AH41" s="138">
        <f t="shared" si="8"/>
        <v>7.9744816586921775E-3</v>
      </c>
      <c r="AI41" s="132" t="s">
        <v>18</v>
      </c>
      <c r="AM41" s="132" t="s">
        <v>54</v>
      </c>
      <c r="AN41" s="139" t="s">
        <v>86</v>
      </c>
      <c r="AO41" s="140">
        <v>40245</v>
      </c>
      <c r="AP41" s="21">
        <f t="shared" si="11"/>
        <v>0.97968749999999993</v>
      </c>
    </row>
    <row r="42" spans="1:50" s="132" customFormat="1" ht="15" customHeight="1">
      <c r="A42" s="23">
        <v>0.5</v>
      </c>
      <c r="B42" s="21">
        <f t="shared" si="9"/>
        <v>1.0328124999999999</v>
      </c>
      <c r="C42" s="19">
        <f t="shared" si="15"/>
        <v>826.25</v>
      </c>
      <c r="D42" s="19">
        <v>8.2625000000000003E-7</v>
      </c>
      <c r="E42" s="19">
        <v>6.6250000000000001E-8</v>
      </c>
      <c r="F42" s="21">
        <f t="shared" si="13"/>
        <v>3.3125E-8</v>
      </c>
      <c r="G42" s="171">
        <f t="shared" si="10"/>
        <v>8.0181543116490159E-2</v>
      </c>
      <c r="H42" s="171">
        <f t="shared" si="14"/>
        <v>4.0090771558245079E-2</v>
      </c>
      <c r="I42" s="56">
        <v>6</v>
      </c>
      <c r="J42" s="21">
        <f t="shared" si="16"/>
        <v>800</v>
      </c>
      <c r="K42" s="31">
        <v>7.9999999999999996E-7</v>
      </c>
      <c r="L42" s="57">
        <v>1E-13</v>
      </c>
      <c r="M42" s="57">
        <f t="shared" si="17"/>
        <v>0.1</v>
      </c>
      <c r="N42" s="19" t="s">
        <v>89</v>
      </c>
      <c r="O42" s="19"/>
      <c r="P42" s="19"/>
      <c r="Q42" s="19"/>
      <c r="R42" s="19">
        <v>0</v>
      </c>
      <c r="S42" s="19" t="s">
        <v>13</v>
      </c>
      <c r="T42" s="31">
        <f t="shared" si="18"/>
        <v>5000000000000</v>
      </c>
      <c r="U42" s="31">
        <f t="shared" si="19"/>
        <v>30000000000000</v>
      </c>
      <c r="V42" s="32">
        <f t="shared" si="20"/>
        <v>3</v>
      </c>
      <c r="W42" s="31">
        <f t="shared" si="6"/>
        <v>1.0328125000000001</v>
      </c>
      <c r="X42" s="81"/>
      <c r="Y42" s="26"/>
      <c r="Z42" s="19"/>
      <c r="AA42" s="19"/>
      <c r="AB42" s="20"/>
      <c r="AC42" s="19">
        <v>4</v>
      </c>
      <c r="AD42" s="29">
        <v>3.0400000000000001E-6</v>
      </c>
      <c r="AE42" s="29">
        <v>3.5700000000000001E-6</v>
      </c>
      <c r="AF42" s="21">
        <f t="shared" si="12"/>
        <v>8.2625000000000003E-7</v>
      </c>
      <c r="AG42" s="21">
        <f t="shared" si="7"/>
        <v>6.6250000000000001E-8</v>
      </c>
      <c r="AH42" s="22">
        <f t="shared" si="8"/>
        <v>8.0181543116490159E-2</v>
      </c>
      <c r="AI42" s="58" t="s">
        <v>93</v>
      </c>
      <c r="AJ42" s="19"/>
      <c r="AK42" s="19"/>
      <c r="AL42" s="19"/>
      <c r="AM42" s="19" t="s">
        <v>54</v>
      </c>
      <c r="AN42" s="105" t="s">
        <v>86</v>
      </c>
      <c r="AO42" s="55">
        <v>40389</v>
      </c>
      <c r="AP42" s="21">
        <f t="shared" si="11"/>
        <v>1.0328125000000001</v>
      </c>
      <c r="AQ42" s="19"/>
      <c r="AR42" s="19"/>
      <c r="AS42" s="19"/>
      <c r="AT42" s="19"/>
      <c r="AU42" s="19"/>
      <c r="AV42" s="19"/>
      <c r="AW42" s="19"/>
      <c r="AX42" s="19"/>
    </row>
    <row r="43" spans="1:50" s="132" customFormat="1" ht="15" customHeight="1">
      <c r="A43" s="23">
        <v>0.85</v>
      </c>
      <c r="B43" s="21">
        <f t="shared" si="9"/>
        <v>1</v>
      </c>
      <c r="C43" s="19">
        <f t="shared" si="15"/>
        <v>800</v>
      </c>
      <c r="D43" s="19">
        <v>7.9999999999999996E-7</v>
      </c>
      <c r="E43" s="19">
        <v>2.9999999999999977E-8</v>
      </c>
      <c r="F43" s="21">
        <f t="shared" si="13"/>
        <v>1.4999999999999989E-8</v>
      </c>
      <c r="G43" s="171">
        <f t="shared" si="10"/>
        <v>3.7499999999999971E-2</v>
      </c>
      <c r="H43" s="171">
        <f t="shared" si="14"/>
        <v>1.8749999999999985E-2</v>
      </c>
      <c r="I43" s="56">
        <v>6</v>
      </c>
      <c r="J43" s="21">
        <f t="shared" si="16"/>
        <v>800</v>
      </c>
      <c r="K43" s="31">
        <v>7.9999999999999996E-7</v>
      </c>
      <c r="L43" s="57">
        <v>1E-13</v>
      </c>
      <c r="M43" s="57">
        <f t="shared" si="17"/>
        <v>0.1</v>
      </c>
      <c r="N43" s="19" t="s">
        <v>95</v>
      </c>
      <c r="O43" s="19"/>
      <c r="P43" s="19"/>
      <c r="Q43" s="21"/>
      <c r="R43" s="19">
        <v>0</v>
      </c>
      <c r="S43" s="19" t="s">
        <v>13</v>
      </c>
      <c r="T43" s="31">
        <f t="shared" si="18"/>
        <v>8500000000000</v>
      </c>
      <c r="U43" s="31">
        <f t="shared" si="19"/>
        <v>51000000000000</v>
      </c>
      <c r="V43" s="32">
        <f t="shared" si="20"/>
        <v>5.0999999999999996</v>
      </c>
      <c r="W43" s="31">
        <f t="shared" si="6"/>
        <v>1</v>
      </c>
      <c r="X43" s="73">
        <v>7.0999999999999998E-7</v>
      </c>
      <c r="Y43" s="29">
        <v>7.8999999999999995E-7</v>
      </c>
      <c r="Z43" s="21">
        <f>(X43+Y43)/2</f>
        <v>7.5000000000000002E-7</v>
      </c>
      <c r="AA43" s="21">
        <f>(Y43-X43)/2</f>
        <v>3.9999999999999988E-8</v>
      </c>
      <c r="AB43" s="116">
        <f>AA43/Z43</f>
        <v>5.3333333333333316E-2</v>
      </c>
      <c r="AC43" s="56">
        <v>4</v>
      </c>
      <c r="AD43" s="29">
        <v>3.0800000000000002E-6</v>
      </c>
      <c r="AE43" s="29">
        <v>3.32E-6</v>
      </c>
      <c r="AF43" s="21">
        <f t="shared" si="12"/>
        <v>7.9999999999999996E-7</v>
      </c>
      <c r="AG43" s="21">
        <f t="shared" si="7"/>
        <v>2.9999999999999977E-8</v>
      </c>
      <c r="AH43" s="22">
        <f t="shared" si="8"/>
        <v>3.7499999999999971E-2</v>
      </c>
      <c r="AI43" s="19" t="s">
        <v>19</v>
      </c>
      <c r="AJ43" s="19"/>
      <c r="AK43" s="19"/>
      <c r="AL43" s="19"/>
      <c r="AM43" s="19" t="s">
        <v>54</v>
      </c>
      <c r="AN43" s="105" t="s">
        <v>86</v>
      </c>
      <c r="AO43" s="55">
        <v>40245</v>
      </c>
      <c r="AP43" s="21">
        <f t="shared" si="11"/>
        <v>1</v>
      </c>
      <c r="AQ43" s="19"/>
      <c r="AR43" s="19"/>
      <c r="AS43" s="19"/>
      <c r="AT43" s="19"/>
      <c r="AU43" s="19"/>
      <c r="AV43" s="19"/>
      <c r="AW43" s="19"/>
      <c r="AX43" s="19"/>
    </row>
    <row r="44" spans="1:50" s="132" customFormat="1" ht="15" customHeight="1">
      <c r="A44" s="23">
        <v>0.1</v>
      </c>
      <c r="B44" s="21">
        <f t="shared" si="9"/>
        <v>0.90480769230769231</v>
      </c>
      <c r="C44" s="19">
        <f t="shared" si="15"/>
        <v>723.84615384615381</v>
      </c>
      <c r="D44" s="19">
        <v>7.2384615384615381E-7</v>
      </c>
      <c r="E44" s="19">
        <v>6.1538461538461541E-8</v>
      </c>
      <c r="F44" s="21">
        <f t="shared" si="13"/>
        <v>3.076923076923077E-8</v>
      </c>
      <c r="G44" s="171">
        <f t="shared" si="10"/>
        <v>8.501594048884166E-2</v>
      </c>
      <c r="H44" s="171">
        <f t="shared" si="14"/>
        <v>4.250797024442083E-2</v>
      </c>
      <c r="I44" s="56">
        <v>7</v>
      </c>
      <c r="J44" s="21">
        <f t="shared" si="16"/>
        <v>800</v>
      </c>
      <c r="K44" s="31">
        <v>7.9999999999999996E-7</v>
      </c>
      <c r="L44" s="57">
        <v>1E-13</v>
      </c>
      <c r="M44" s="57">
        <f t="shared" si="17"/>
        <v>0.1</v>
      </c>
      <c r="N44" s="19" t="s">
        <v>89</v>
      </c>
      <c r="O44" s="19"/>
      <c r="P44" s="19"/>
      <c r="Q44" s="19"/>
      <c r="R44" s="19">
        <v>0</v>
      </c>
      <c r="S44" s="19" t="s">
        <v>13</v>
      </c>
      <c r="T44" s="31">
        <f t="shared" si="18"/>
        <v>1000000000000</v>
      </c>
      <c r="U44" s="31">
        <f t="shared" si="19"/>
        <v>7000000000000</v>
      </c>
      <c r="V44" s="32">
        <f t="shared" si="20"/>
        <v>0.70000000000000007</v>
      </c>
      <c r="W44" s="31">
        <f t="shared" si="6"/>
        <v>0.90480769230769231</v>
      </c>
      <c r="X44" s="81"/>
      <c r="Y44" s="26"/>
      <c r="Z44" s="19"/>
      <c r="AA44" s="19"/>
      <c r="AB44" s="20"/>
      <c r="AC44" s="19">
        <v>13</v>
      </c>
      <c r="AD44" s="29">
        <v>8.6100000000000006E-6</v>
      </c>
      <c r="AE44" s="29">
        <v>1.0210000000000001E-5</v>
      </c>
      <c r="AF44" s="21">
        <f t="shared" si="12"/>
        <v>7.2384615384615381E-7</v>
      </c>
      <c r="AG44" s="21">
        <f t="shared" si="7"/>
        <v>6.1538461538461541E-8</v>
      </c>
      <c r="AH44" s="22">
        <f t="shared" si="8"/>
        <v>8.501594048884166E-2</v>
      </c>
      <c r="AI44" s="58" t="s">
        <v>93</v>
      </c>
      <c r="AJ44" s="19"/>
      <c r="AK44" s="19"/>
      <c r="AL44" s="19"/>
      <c r="AM44" s="19" t="s">
        <v>54</v>
      </c>
      <c r="AN44" s="105" t="s">
        <v>86</v>
      </c>
      <c r="AO44" s="55">
        <v>40389</v>
      </c>
      <c r="AP44" s="21">
        <f t="shared" si="11"/>
        <v>0.90480769230769231</v>
      </c>
      <c r="AQ44" s="19"/>
      <c r="AR44" s="19"/>
      <c r="AS44" s="19"/>
      <c r="AT44" s="19"/>
      <c r="AU44" s="19"/>
      <c r="AV44" s="19"/>
      <c r="AW44" s="19"/>
      <c r="AX44" s="19"/>
    </row>
    <row r="45" spans="1:50" s="132" customFormat="1" ht="15" hidden="1" customHeight="1">
      <c r="A45" s="131">
        <v>0.313</v>
      </c>
      <c r="C45" s="132" t="e">
        <f t="shared" si="15"/>
        <v>#VALUE!</v>
      </c>
      <c r="D45" s="132" t="s">
        <v>152</v>
      </c>
      <c r="E45" s="132" t="s">
        <v>152</v>
      </c>
      <c r="G45" s="21" t="e">
        <f t="shared" ref="G45:G66" si="21">E45/D45</f>
        <v>#VALUE!</v>
      </c>
      <c r="H45" s="171" t="e">
        <f t="shared" si="14"/>
        <v>#VALUE!</v>
      </c>
      <c r="I45" s="133">
        <v>10</v>
      </c>
      <c r="J45" s="21">
        <f t="shared" si="16"/>
        <v>800</v>
      </c>
      <c r="K45" s="134">
        <v>7.9999999999999996E-7</v>
      </c>
      <c r="L45" s="135">
        <v>1E-13</v>
      </c>
      <c r="M45" s="135">
        <f t="shared" si="17"/>
        <v>0.1</v>
      </c>
      <c r="N45" s="132" t="s">
        <v>95</v>
      </c>
      <c r="R45" s="132">
        <v>0</v>
      </c>
      <c r="S45" s="132" t="s">
        <v>13</v>
      </c>
      <c r="T45" s="134">
        <f t="shared" si="18"/>
        <v>3130000000000</v>
      </c>
      <c r="U45" s="134">
        <f t="shared" si="19"/>
        <v>31300000000000</v>
      </c>
      <c r="V45" s="136">
        <f t="shared" si="20"/>
        <v>3.13</v>
      </c>
      <c r="W45" s="134" t="e">
        <f t="shared" si="6"/>
        <v>#DIV/0!</v>
      </c>
      <c r="X45" s="131"/>
      <c r="AB45" s="137"/>
      <c r="AC45" s="133"/>
      <c r="AD45" s="71">
        <v>1.187E-5</v>
      </c>
      <c r="AE45" s="71">
        <v>1.206E-5</v>
      </c>
      <c r="AF45" s="71" t="e">
        <f t="shared" si="12"/>
        <v>#DIV/0!</v>
      </c>
      <c r="AG45" s="71" t="e">
        <f t="shared" si="7"/>
        <v>#DIV/0!</v>
      </c>
      <c r="AH45" s="138" t="e">
        <f t="shared" si="8"/>
        <v>#DIV/0!</v>
      </c>
      <c r="AI45" s="132" t="s">
        <v>18</v>
      </c>
      <c r="AM45" s="132" t="s">
        <v>54</v>
      </c>
      <c r="AN45" s="139" t="s">
        <v>86</v>
      </c>
      <c r="AO45" s="140">
        <v>40245</v>
      </c>
    </row>
    <row r="46" spans="1:50" s="132" customFormat="1" ht="15" customHeight="1">
      <c r="A46" s="23">
        <v>0.2</v>
      </c>
      <c r="B46" s="21">
        <f t="shared" ref="B46:B56" si="22">C46/J46</f>
        <v>0.91874999999999996</v>
      </c>
      <c r="C46" s="19">
        <f t="shared" si="15"/>
        <v>735</v>
      </c>
      <c r="D46" s="19">
        <v>7.3499999999999995E-7</v>
      </c>
      <c r="E46" s="19">
        <v>8.499999999999998E-8</v>
      </c>
      <c r="F46" s="21">
        <f t="shared" ref="F46:F56" si="23">E46/2</f>
        <v>4.249999999999999E-8</v>
      </c>
      <c r="G46" s="171">
        <f t="shared" si="21"/>
        <v>0.11564625850340134</v>
      </c>
      <c r="H46" s="171">
        <f t="shared" si="14"/>
        <v>5.7823129251700668E-2</v>
      </c>
      <c r="I46" s="56">
        <v>7</v>
      </c>
      <c r="J46" s="21">
        <f t="shared" si="16"/>
        <v>800</v>
      </c>
      <c r="K46" s="31">
        <v>7.9999999999999996E-7</v>
      </c>
      <c r="L46" s="57">
        <v>1E-13</v>
      </c>
      <c r="M46" s="57">
        <f t="shared" si="17"/>
        <v>0.1</v>
      </c>
      <c r="N46" s="19" t="s">
        <v>95</v>
      </c>
      <c r="O46" s="19"/>
      <c r="P46" s="19"/>
      <c r="Q46" s="19"/>
      <c r="R46" s="19"/>
      <c r="S46" s="19"/>
      <c r="T46" s="31">
        <f t="shared" si="18"/>
        <v>2000000000000</v>
      </c>
      <c r="U46" s="31">
        <f t="shared" si="19"/>
        <v>14000000000000</v>
      </c>
      <c r="V46" s="32">
        <f t="shared" si="20"/>
        <v>1.4000000000000001</v>
      </c>
      <c r="W46" s="31">
        <f>Z46/K46</f>
        <v>0.91874999999999996</v>
      </c>
      <c r="X46" s="73">
        <v>6.5000000000000002E-7</v>
      </c>
      <c r="Y46" s="29">
        <v>8.1999999999999998E-7</v>
      </c>
      <c r="Z46" s="21">
        <f>(X46+Y46)/2</f>
        <v>7.3499999999999995E-7</v>
      </c>
      <c r="AA46" s="21">
        <f>(Y46-X46)/2</f>
        <v>8.499999999999998E-8</v>
      </c>
      <c r="AB46" s="116">
        <f>AA46/Z46</f>
        <v>0.11564625850340134</v>
      </c>
      <c r="AC46" s="19"/>
      <c r="AD46" s="29"/>
      <c r="AE46" s="29"/>
      <c r="AF46" s="21">
        <v>7.3499999999999995E-7</v>
      </c>
      <c r="AG46" s="21">
        <v>8.499999999999998E-8</v>
      </c>
      <c r="AH46" s="22">
        <v>0.11564625850340134</v>
      </c>
      <c r="AI46" s="19"/>
      <c r="AJ46" s="19"/>
      <c r="AK46" s="19"/>
      <c r="AL46" s="19"/>
      <c r="AM46" s="19" t="s">
        <v>54</v>
      </c>
      <c r="AN46" s="105" t="s">
        <v>86</v>
      </c>
      <c r="AO46" s="55">
        <v>40389</v>
      </c>
      <c r="AP46" s="21">
        <f t="shared" ref="AP46:AP56" si="24">D46/K46</f>
        <v>0.91874999999999996</v>
      </c>
      <c r="AQ46" s="19"/>
      <c r="AR46" s="19"/>
      <c r="AS46" s="19"/>
      <c r="AT46" s="19"/>
      <c r="AU46" s="19"/>
      <c r="AV46" s="19"/>
      <c r="AW46" s="19"/>
      <c r="AX46" s="19"/>
    </row>
    <row r="47" spans="1:50" s="141" customFormat="1" ht="15" customHeight="1">
      <c r="A47" s="15">
        <v>0.28799999999999998</v>
      </c>
      <c r="B47" s="21">
        <f t="shared" si="22"/>
        <v>0.92083333333333328</v>
      </c>
      <c r="C47" s="19">
        <f t="shared" si="15"/>
        <v>736.66666666666663</v>
      </c>
      <c r="D47" s="16">
        <v>7.3666666666666667E-7</v>
      </c>
      <c r="E47" s="16">
        <v>1.3333333333333301E-8</v>
      </c>
      <c r="F47" s="21">
        <f t="shared" si="23"/>
        <v>6.6666666666666503E-9</v>
      </c>
      <c r="G47" s="171">
        <f t="shared" si="21"/>
        <v>1.8099547511312174E-2</v>
      </c>
      <c r="H47" s="171">
        <f t="shared" si="14"/>
        <v>9.0497737556560869E-3</v>
      </c>
      <c r="I47" s="60">
        <v>7</v>
      </c>
      <c r="J47" s="21">
        <f t="shared" si="16"/>
        <v>800</v>
      </c>
      <c r="K47" s="34">
        <v>7.9999999999999996E-7</v>
      </c>
      <c r="L47" s="61">
        <v>1E-13</v>
      </c>
      <c r="M47" s="61">
        <f t="shared" si="17"/>
        <v>0.1</v>
      </c>
      <c r="N47" s="16" t="s">
        <v>95</v>
      </c>
      <c r="O47" s="16"/>
      <c r="P47" s="16"/>
      <c r="Q47" s="16"/>
      <c r="R47" s="16">
        <v>0</v>
      </c>
      <c r="S47" s="16" t="s">
        <v>13</v>
      </c>
      <c r="T47" s="34">
        <f t="shared" si="18"/>
        <v>2879999999999.9995</v>
      </c>
      <c r="U47" s="34">
        <f t="shared" si="19"/>
        <v>20159999999999.996</v>
      </c>
      <c r="V47" s="36">
        <f t="shared" si="20"/>
        <v>2.016</v>
      </c>
      <c r="W47" s="34">
        <f t="shared" ref="W47:W52" si="25">AF47/K47</f>
        <v>0.92083333333333339</v>
      </c>
      <c r="X47" s="122"/>
      <c r="Y47" s="62"/>
      <c r="Z47" s="16"/>
      <c r="AA47" s="16"/>
      <c r="AB47" s="114"/>
      <c r="AC47" s="60">
        <v>9</v>
      </c>
      <c r="AD47" s="63">
        <v>6.5100000000000004E-6</v>
      </c>
      <c r="AE47" s="63">
        <v>6.7499999999999997E-6</v>
      </c>
      <c r="AF47" s="35">
        <f t="shared" ref="AF47:AF52" si="26">(AE47+AD47)/(2*AC47)</f>
        <v>7.3666666666666667E-7</v>
      </c>
      <c r="AG47" s="35">
        <f t="shared" ref="AG47:AG52" si="27">(AE47-AD47)/(2*AC47)</f>
        <v>1.3333333333333301E-8</v>
      </c>
      <c r="AH47" s="64">
        <f t="shared" ref="AH47:AH52" si="28">AG47/AF47</f>
        <v>1.8099547511312174E-2</v>
      </c>
      <c r="AI47" s="16" t="s">
        <v>17</v>
      </c>
      <c r="AJ47" s="16"/>
      <c r="AK47" s="16"/>
      <c r="AL47" s="16"/>
      <c r="AM47" s="19" t="s">
        <v>54</v>
      </c>
      <c r="AN47" s="105" t="s">
        <v>86</v>
      </c>
      <c r="AO47" s="59">
        <v>40245</v>
      </c>
      <c r="AP47" s="21">
        <f t="shared" si="24"/>
        <v>0.92083333333333339</v>
      </c>
      <c r="AQ47" s="16"/>
      <c r="AR47" s="16"/>
      <c r="AS47" s="16"/>
      <c r="AT47" s="16"/>
      <c r="AU47" s="16"/>
      <c r="AV47" s="16"/>
      <c r="AW47" s="16"/>
      <c r="AX47" s="16"/>
    </row>
    <row r="48" spans="1:50" s="143" customFormat="1" ht="15" customHeight="1">
      <c r="A48" s="142">
        <v>0.313</v>
      </c>
      <c r="B48" s="21">
        <f t="shared" si="22"/>
        <v>0.93791666666666673</v>
      </c>
      <c r="C48" s="132">
        <f t="shared" si="15"/>
        <v>750.33333333333337</v>
      </c>
      <c r="D48" s="143">
        <v>7.5033333333333334E-7</v>
      </c>
      <c r="E48" s="143">
        <v>7.6666666666666493E-9</v>
      </c>
      <c r="F48" s="21">
        <f t="shared" si="23"/>
        <v>3.8333333333333246E-9</v>
      </c>
      <c r="G48" s="171">
        <f t="shared" si="21"/>
        <v>1.0217681030653019E-2</v>
      </c>
      <c r="H48" s="171">
        <f t="shared" si="14"/>
        <v>5.1088405153265097E-3</v>
      </c>
      <c r="I48" s="144">
        <v>7</v>
      </c>
      <c r="J48" s="21">
        <f t="shared" si="16"/>
        <v>800</v>
      </c>
      <c r="K48" s="145">
        <v>7.9999999999999996E-7</v>
      </c>
      <c r="L48" s="146">
        <v>1E-13</v>
      </c>
      <c r="M48" s="146">
        <f t="shared" si="17"/>
        <v>0.1</v>
      </c>
      <c r="N48" s="143" t="s">
        <v>95</v>
      </c>
      <c r="R48" s="143">
        <v>0</v>
      </c>
      <c r="S48" s="143" t="s">
        <v>13</v>
      </c>
      <c r="T48" s="145">
        <f t="shared" si="18"/>
        <v>3130000000000</v>
      </c>
      <c r="U48" s="145">
        <f t="shared" si="19"/>
        <v>21910000000000</v>
      </c>
      <c r="V48" s="147">
        <f t="shared" si="20"/>
        <v>2.1909999999999998</v>
      </c>
      <c r="W48" s="145">
        <f t="shared" si="25"/>
        <v>0.93791666666666673</v>
      </c>
      <c r="X48" s="142"/>
      <c r="AB48" s="148"/>
      <c r="AC48" s="144">
        <v>15</v>
      </c>
      <c r="AD48" s="149">
        <v>1.114E-5</v>
      </c>
      <c r="AE48" s="149">
        <v>1.137E-5</v>
      </c>
      <c r="AF48" s="149">
        <f t="shared" si="26"/>
        <v>7.5033333333333334E-7</v>
      </c>
      <c r="AG48" s="149">
        <f t="shared" si="27"/>
        <v>7.6666666666666493E-9</v>
      </c>
      <c r="AH48" s="150">
        <f t="shared" si="28"/>
        <v>1.0217681030653019E-2</v>
      </c>
      <c r="AI48" s="143" t="s">
        <v>18</v>
      </c>
      <c r="AM48" s="132" t="s">
        <v>54</v>
      </c>
      <c r="AN48" s="139" t="s">
        <v>86</v>
      </c>
      <c r="AO48" s="151">
        <v>40245</v>
      </c>
      <c r="AP48" s="21">
        <f t="shared" si="24"/>
        <v>0.93791666666666673</v>
      </c>
    </row>
    <row r="49" spans="1:50" s="132" customFormat="1" ht="15" customHeight="1">
      <c r="A49" s="23">
        <v>0.1</v>
      </c>
      <c r="B49" s="21">
        <f t="shared" si="22"/>
        <v>0.93238636363636362</v>
      </c>
      <c r="C49" s="19">
        <f t="shared" si="15"/>
        <v>745.90909090909088</v>
      </c>
      <c r="D49" s="19">
        <v>7.4590909090909089E-7</v>
      </c>
      <c r="E49" s="19">
        <v>1.6818181818181811E-8</v>
      </c>
      <c r="F49" s="21">
        <f t="shared" si="23"/>
        <v>8.4090909090909054E-9</v>
      </c>
      <c r="G49" s="171">
        <f t="shared" si="21"/>
        <v>2.2547227300426562E-2</v>
      </c>
      <c r="H49" s="171">
        <f t="shared" si="14"/>
        <v>1.1273613650213281E-2</v>
      </c>
      <c r="I49" s="56">
        <v>8</v>
      </c>
      <c r="J49" s="21">
        <f t="shared" si="16"/>
        <v>800</v>
      </c>
      <c r="K49" s="31">
        <v>7.9999999999999996E-7</v>
      </c>
      <c r="L49" s="57">
        <v>1E-13</v>
      </c>
      <c r="M49" s="57">
        <f t="shared" si="17"/>
        <v>0.1</v>
      </c>
      <c r="N49" s="19" t="s">
        <v>89</v>
      </c>
      <c r="O49" s="19"/>
      <c r="P49" s="19"/>
      <c r="Q49" s="19"/>
      <c r="R49" s="19">
        <v>0</v>
      </c>
      <c r="S49" s="19" t="s">
        <v>13</v>
      </c>
      <c r="T49" s="31">
        <f t="shared" si="18"/>
        <v>1000000000000</v>
      </c>
      <c r="U49" s="31">
        <f t="shared" si="19"/>
        <v>8000000000000</v>
      </c>
      <c r="V49" s="32">
        <f t="shared" si="20"/>
        <v>0.8</v>
      </c>
      <c r="W49" s="31">
        <f t="shared" si="25"/>
        <v>0.93238636363636362</v>
      </c>
      <c r="X49" s="81"/>
      <c r="Y49" s="26"/>
      <c r="Z49" s="19"/>
      <c r="AA49" s="19"/>
      <c r="AB49" s="20"/>
      <c r="AC49" s="19">
        <v>11</v>
      </c>
      <c r="AD49" s="29">
        <v>8.0199999999999994E-6</v>
      </c>
      <c r="AE49" s="29">
        <v>8.3899999999999993E-6</v>
      </c>
      <c r="AF49" s="21">
        <f t="shared" si="26"/>
        <v>7.4590909090909089E-7</v>
      </c>
      <c r="AG49" s="21">
        <f t="shared" si="27"/>
        <v>1.6818181818181811E-8</v>
      </c>
      <c r="AH49" s="22">
        <f t="shared" si="28"/>
        <v>2.2547227300426562E-2</v>
      </c>
      <c r="AI49" s="58" t="s">
        <v>93</v>
      </c>
      <c r="AJ49" s="19"/>
      <c r="AK49" s="19"/>
      <c r="AL49" s="19"/>
      <c r="AM49" s="19" t="s">
        <v>54</v>
      </c>
      <c r="AN49" s="105" t="s">
        <v>86</v>
      </c>
      <c r="AO49" s="55">
        <v>40389</v>
      </c>
      <c r="AP49" s="21">
        <f t="shared" si="24"/>
        <v>0.93238636363636362</v>
      </c>
      <c r="AQ49" s="19"/>
      <c r="AR49" s="19"/>
      <c r="AS49" s="19"/>
      <c r="AT49" s="19"/>
      <c r="AU49" s="19"/>
      <c r="AV49" s="19"/>
      <c r="AW49" s="19"/>
      <c r="AX49" s="19"/>
    </row>
    <row r="50" spans="1:50" ht="15" customHeight="1">
      <c r="A50" s="23">
        <v>0.2</v>
      </c>
      <c r="B50" s="21">
        <f t="shared" si="22"/>
        <v>0.95480769230769225</v>
      </c>
      <c r="C50" s="19">
        <f t="shared" si="15"/>
        <v>763.84615384615381</v>
      </c>
      <c r="D50" s="19">
        <v>7.6384615384615385E-7</v>
      </c>
      <c r="E50" s="19">
        <v>3.4615384615384937E-9</v>
      </c>
      <c r="F50" s="21">
        <f t="shared" si="23"/>
        <v>1.7307692307692468E-9</v>
      </c>
      <c r="G50" s="171">
        <f t="shared" si="21"/>
        <v>4.5317220543807067E-3</v>
      </c>
      <c r="H50" s="171">
        <f t="shared" si="14"/>
        <v>2.2658610271903534E-3</v>
      </c>
      <c r="I50" s="19">
        <v>8</v>
      </c>
      <c r="J50" s="21">
        <f t="shared" si="16"/>
        <v>800</v>
      </c>
      <c r="K50" s="31">
        <v>7.9999999999999996E-7</v>
      </c>
      <c r="L50" s="57">
        <v>1E-13</v>
      </c>
      <c r="M50" s="57">
        <f t="shared" si="17"/>
        <v>0.1</v>
      </c>
      <c r="N50" s="19" t="s">
        <v>95</v>
      </c>
      <c r="R50" s="19">
        <v>0</v>
      </c>
      <c r="S50" s="19" t="s">
        <v>13</v>
      </c>
      <c r="T50" s="31">
        <f t="shared" si="18"/>
        <v>2000000000000</v>
      </c>
      <c r="U50" s="31">
        <f t="shared" si="19"/>
        <v>16000000000000</v>
      </c>
      <c r="V50" s="32">
        <f t="shared" si="20"/>
        <v>1.6</v>
      </c>
      <c r="W50" s="31">
        <f t="shared" si="25"/>
        <v>0.95480769230769236</v>
      </c>
      <c r="X50" s="73">
        <v>6.3E-7</v>
      </c>
      <c r="Y50" s="29">
        <v>8.7000000000000003E-7</v>
      </c>
      <c r="Z50" s="21">
        <f>(X50+Y50)/2</f>
        <v>7.5000000000000002E-7</v>
      </c>
      <c r="AA50" s="21">
        <f>(Y50-X50)/2</f>
        <v>1.2000000000000002E-7</v>
      </c>
      <c r="AB50" s="116">
        <f>AA50/Z50</f>
        <v>0.16</v>
      </c>
      <c r="AC50" s="19">
        <v>26</v>
      </c>
      <c r="AD50" s="29">
        <v>1.9769999999999999E-5</v>
      </c>
      <c r="AE50" s="29">
        <v>1.995E-5</v>
      </c>
      <c r="AF50" s="21">
        <f t="shared" si="26"/>
        <v>7.6384615384615385E-7</v>
      </c>
      <c r="AG50" s="21">
        <f t="shared" si="27"/>
        <v>3.4615384615384937E-9</v>
      </c>
      <c r="AH50" s="22">
        <f t="shared" si="28"/>
        <v>4.5317220543807067E-3</v>
      </c>
      <c r="AI50" s="19" t="s">
        <v>14</v>
      </c>
      <c r="AJ50" s="19" t="s">
        <v>9</v>
      </c>
      <c r="AM50" s="19" t="s">
        <v>54</v>
      </c>
      <c r="AN50" s="105" t="s">
        <v>86</v>
      </c>
      <c r="AO50" s="55">
        <v>40253</v>
      </c>
      <c r="AP50" s="21">
        <f t="shared" si="24"/>
        <v>0.95480769230769236</v>
      </c>
    </row>
    <row r="51" spans="1:50" ht="15" customHeight="1">
      <c r="A51" s="131">
        <v>0.313</v>
      </c>
      <c r="B51" s="21">
        <f t="shared" si="22"/>
        <v>0.99375000000000002</v>
      </c>
      <c r="C51" s="132">
        <f t="shared" si="15"/>
        <v>795</v>
      </c>
      <c r="D51" s="132">
        <v>7.9500000000000001E-7</v>
      </c>
      <c r="E51" s="132">
        <v>1.3888888888888897E-8</v>
      </c>
      <c r="F51" s="21">
        <f t="shared" si="23"/>
        <v>6.9444444444444484E-9</v>
      </c>
      <c r="G51" s="171">
        <f t="shared" si="21"/>
        <v>1.7470300489168422E-2</v>
      </c>
      <c r="H51" s="171">
        <f t="shared" si="14"/>
        <v>8.7351502445842111E-3</v>
      </c>
      <c r="I51" s="133">
        <v>8</v>
      </c>
      <c r="J51" s="21">
        <f t="shared" si="16"/>
        <v>800</v>
      </c>
      <c r="K51" s="134">
        <v>7.9999999999999996E-7</v>
      </c>
      <c r="L51" s="135">
        <v>1E-13</v>
      </c>
      <c r="M51" s="135">
        <f t="shared" si="17"/>
        <v>0.1</v>
      </c>
      <c r="N51" s="132" t="s">
        <v>95</v>
      </c>
      <c r="O51" s="132"/>
      <c r="P51" s="132"/>
      <c r="Q51" s="132"/>
      <c r="R51" s="132">
        <v>0</v>
      </c>
      <c r="S51" s="132" t="s">
        <v>13</v>
      </c>
      <c r="T51" s="134">
        <f t="shared" si="18"/>
        <v>3130000000000</v>
      </c>
      <c r="U51" s="134">
        <f t="shared" si="19"/>
        <v>25040000000000</v>
      </c>
      <c r="V51" s="136">
        <f t="shared" si="20"/>
        <v>2.504</v>
      </c>
      <c r="W51" s="134">
        <f t="shared" si="25"/>
        <v>0.99375000000000002</v>
      </c>
      <c r="X51" s="131"/>
      <c r="Y51" s="132"/>
      <c r="Z51" s="132"/>
      <c r="AA51" s="132"/>
      <c r="AB51" s="137"/>
      <c r="AC51" s="133">
        <v>9</v>
      </c>
      <c r="AD51" s="71">
        <v>7.0299999999999996E-6</v>
      </c>
      <c r="AE51" s="71">
        <v>7.2799999999999998E-6</v>
      </c>
      <c r="AF51" s="71">
        <f t="shared" si="26"/>
        <v>7.9500000000000001E-7</v>
      </c>
      <c r="AG51" s="71">
        <f t="shared" si="27"/>
        <v>1.3888888888888897E-8</v>
      </c>
      <c r="AH51" s="138">
        <f t="shared" si="28"/>
        <v>1.7470300489168422E-2</v>
      </c>
      <c r="AI51" s="132" t="s">
        <v>18</v>
      </c>
      <c r="AJ51" s="132"/>
      <c r="AK51" s="132"/>
      <c r="AL51" s="132"/>
      <c r="AM51" s="132" t="s">
        <v>54</v>
      </c>
      <c r="AN51" s="139" t="s">
        <v>86</v>
      </c>
      <c r="AO51" s="140">
        <v>40245</v>
      </c>
      <c r="AP51" s="21">
        <f t="shared" si="24"/>
        <v>0.99375000000000002</v>
      </c>
      <c r="AQ51" s="132"/>
      <c r="AR51" s="132"/>
      <c r="AS51" s="132"/>
      <c r="AT51" s="132"/>
      <c r="AU51" s="132"/>
      <c r="AV51" s="132"/>
      <c r="AW51" s="132"/>
      <c r="AX51" s="132"/>
    </row>
    <row r="52" spans="1:50" ht="15" customHeight="1">
      <c r="A52" s="23">
        <v>0.1</v>
      </c>
      <c r="B52" s="21">
        <f t="shared" si="22"/>
        <v>1.0057291666666666</v>
      </c>
      <c r="C52" s="19">
        <f t="shared" si="15"/>
        <v>804.58333333333326</v>
      </c>
      <c r="D52" s="19">
        <v>8.0458333333333329E-7</v>
      </c>
      <c r="E52" s="19">
        <v>2.1250000000000008E-8</v>
      </c>
      <c r="F52" s="21">
        <f t="shared" si="23"/>
        <v>1.0625000000000004E-8</v>
      </c>
      <c r="G52" s="171">
        <f t="shared" si="21"/>
        <v>2.6411185914034192E-2</v>
      </c>
      <c r="H52" s="171">
        <f t="shared" si="14"/>
        <v>1.3205592957017096E-2</v>
      </c>
      <c r="I52" s="56">
        <v>9</v>
      </c>
      <c r="J52" s="21">
        <f t="shared" si="16"/>
        <v>800</v>
      </c>
      <c r="K52" s="31">
        <v>7.9999999999999996E-7</v>
      </c>
      <c r="L52" s="57">
        <v>1E-13</v>
      </c>
      <c r="M52" s="57">
        <f t="shared" si="17"/>
        <v>0.1</v>
      </c>
      <c r="N52" s="19" t="s">
        <v>89</v>
      </c>
      <c r="R52" s="19">
        <v>0</v>
      </c>
      <c r="S52" s="19" t="s">
        <v>13</v>
      </c>
      <c r="T52" s="31">
        <f t="shared" si="18"/>
        <v>1000000000000</v>
      </c>
      <c r="U52" s="31">
        <f t="shared" si="19"/>
        <v>9000000000000</v>
      </c>
      <c r="V52" s="32">
        <f t="shared" si="20"/>
        <v>0.9</v>
      </c>
      <c r="W52" s="31">
        <f t="shared" si="25"/>
        <v>1.0057291666666666</v>
      </c>
      <c r="AC52" s="19">
        <v>12</v>
      </c>
      <c r="AD52" s="29">
        <v>9.3999999999999998E-6</v>
      </c>
      <c r="AE52" s="29">
        <v>9.91E-6</v>
      </c>
      <c r="AF52" s="21">
        <f t="shared" si="26"/>
        <v>8.0458333333333329E-7</v>
      </c>
      <c r="AG52" s="21">
        <f t="shared" si="27"/>
        <v>2.1250000000000008E-8</v>
      </c>
      <c r="AH52" s="22">
        <f t="shared" si="28"/>
        <v>2.6411185914034192E-2</v>
      </c>
      <c r="AI52" s="58" t="s">
        <v>93</v>
      </c>
      <c r="AM52" s="19" t="s">
        <v>54</v>
      </c>
      <c r="AN52" s="105" t="s">
        <v>86</v>
      </c>
      <c r="AO52" s="55">
        <v>40389</v>
      </c>
      <c r="AP52" s="21">
        <f t="shared" si="24"/>
        <v>1.0057291666666666</v>
      </c>
    </row>
    <row r="53" spans="1:50" s="16" customFormat="1" ht="15" customHeight="1">
      <c r="A53" s="15">
        <v>0.2</v>
      </c>
      <c r="B53" s="21">
        <f t="shared" si="22"/>
        <v>0.88749999999999996</v>
      </c>
      <c r="C53" s="19">
        <f t="shared" si="15"/>
        <v>710</v>
      </c>
      <c r="D53" s="16">
        <v>7.0999999999999998E-7</v>
      </c>
      <c r="E53" s="16">
        <v>9.9999999999999995E-8</v>
      </c>
      <c r="F53" s="21">
        <f t="shared" si="23"/>
        <v>4.9999999999999998E-8</v>
      </c>
      <c r="G53" s="171">
        <f t="shared" si="21"/>
        <v>0.14084507042253522</v>
      </c>
      <c r="H53" s="171">
        <f t="shared" si="14"/>
        <v>7.0422535211267609E-2</v>
      </c>
      <c r="I53" s="60">
        <v>9</v>
      </c>
      <c r="J53" s="21">
        <f t="shared" si="16"/>
        <v>800</v>
      </c>
      <c r="K53" s="34">
        <v>7.9999999999999996E-7</v>
      </c>
      <c r="L53" s="61">
        <v>1E-13</v>
      </c>
      <c r="M53" s="61">
        <f t="shared" si="17"/>
        <v>0.1</v>
      </c>
      <c r="N53" s="16" t="s">
        <v>95</v>
      </c>
      <c r="T53" s="34">
        <f t="shared" si="18"/>
        <v>2000000000000</v>
      </c>
      <c r="U53" s="34">
        <f t="shared" si="19"/>
        <v>18000000000000</v>
      </c>
      <c r="V53" s="36">
        <f t="shared" si="20"/>
        <v>1.8</v>
      </c>
      <c r="W53" s="34">
        <f>Z53/K53</f>
        <v>0.88750000000000007</v>
      </c>
      <c r="X53" s="126">
        <v>6.0999999999999998E-7</v>
      </c>
      <c r="Y53" s="63">
        <v>8.0999999999999997E-7</v>
      </c>
      <c r="Z53" s="35">
        <f>(X53+Y53)/2</f>
        <v>7.0999999999999998E-7</v>
      </c>
      <c r="AA53" s="35">
        <f>(Y53-X53)/2</f>
        <v>9.9999999999999995E-8</v>
      </c>
      <c r="AB53" s="117">
        <f>AA53/Z53</f>
        <v>0.14084507042253522</v>
      </c>
      <c r="AD53" s="63"/>
      <c r="AE53" s="63"/>
      <c r="AF53" s="35">
        <v>7.0999999999999998E-7</v>
      </c>
      <c r="AG53" s="35">
        <v>9.9999999999999995E-8</v>
      </c>
      <c r="AH53" s="64">
        <v>0.14084507042253522</v>
      </c>
      <c r="AM53" s="19" t="s">
        <v>54</v>
      </c>
      <c r="AN53" s="105" t="s">
        <v>86</v>
      </c>
      <c r="AO53" s="59">
        <v>40245</v>
      </c>
      <c r="AP53" s="21">
        <f t="shared" si="24"/>
        <v>0.88750000000000007</v>
      </c>
    </row>
    <row r="54" spans="1:50" s="25" customFormat="1" ht="15" customHeight="1">
      <c r="A54" s="24">
        <v>0.1</v>
      </c>
      <c r="B54" s="21">
        <f t="shared" si="22"/>
        <v>0.97916666666666652</v>
      </c>
      <c r="C54" s="19">
        <f t="shared" si="15"/>
        <v>783.33333333333326</v>
      </c>
      <c r="D54" s="25">
        <v>7.8333333333333328E-7</v>
      </c>
      <c r="E54" s="25">
        <v>4.583333333333332E-8</v>
      </c>
      <c r="F54" s="21">
        <f t="shared" si="23"/>
        <v>2.291666666666666E-8</v>
      </c>
      <c r="G54" s="171">
        <f t="shared" si="21"/>
        <v>5.8510638297872328E-2</v>
      </c>
      <c r="H54" s="171">
        <f t="shared" si="14"/>
        <v>2.9255319148936164E-2</v>
      </c>
      <c r="I54" s="50">
        <v>10</v>
      </c>
      <c r="J54" s="21">
        <f t="shared" si="16"/>
        <v>800</v>
      </c>
      <c r="K54" s="49">
        <v>7.9999999999999996E-7</v>
      </c>
      <c r="L54" s="51">
        <v>1E-13</v>
      </c>
      <c r="M54" s="51">
        <f t="shared" si="17"/>
        <v>0.1</v>
      </c>
      <c r="N54" s="25" t="s">
        <v>89</v>
      </c>
      <c r="R54" s="25">
        <v>0</v>
      </c>
      <c r="S54" s="25" t="s">
        <v>13</v>
      </c>
      <c r="T54" s="49">
        <f t="shared" si="18"/>
        <v>1000000000000</v>
      </c>
      <c r="U54" s="49">
        <f t="shared" si="19"/>
        <v>10000000000000</v>
      </c>
      <c r="V54" s="52">
        <f t="shared" si="20"/>
        <v>1</v>
      </c>
      <c r="W54" s="49">
        <f>AF54/K54</f>
        <v>0.97916666666666663</v>
      </c>
      <c r="X54" s="123"/>
      <c r="Y54" s="53"/>
      <c r="AB54" s="115"/>
      <c r="AC54" s="25">
        <v>12</v>
      </c>
      <c r="AD54" s="28">
        <v>8.85E-6</v>
      </c>
      <c r="AE54" s="28">
        <v>9.9499999999999996E-6</v>
      </c>
      <c r="AF54" s="17">
        <f>(AE54+AD54)/(2*AC54)</f>
        <v>7.8333333333333328E-7</v>
      </c>
      <c r="AG54" s="17">
        <f>(AE54-AD54)/(2*AC54)</f>
        <v>4.583333333333332E-8</v>
      </c>
      <c r="AH54" s="18">
        <f>AG54/AF54</f>
        <v>5.8510638297872328E-2</v>
      </c>
      <c r="AI54" s="54" t="s">
        <v>93</v>
      </c>
      <c r="AM54" s="19" t="s">
        <v>54</v>
      </c>
      <c r="AN54" s="105" t="s">
        <v>86</v>
      </c>
      <c r="AO54" s="48">
        <v>40389</v>
      </c>
      <c r="AP54" s="21">
        <f t="shared" si="24"/>
        <v>0.97916666666666663</v>
      </c>
    </row>
    <row r="55" spans="1:50" ht="15" customHeight="1">
      <c r="A55" s="23">
        <v>0.2</v>
      </c>
      <c r="B55" s="21">
        <f t="shared" si="22"/>
        <v>0.92500000000000004</v>
      </c>
      <c r="C55" s="19">
        <f t="shared" si="15"/>
        <v>740</v>
      </c>
      <c r="D55" s="19">
        <v>7.4000000000000001E-7</v>
      </c>
      <c r="E55" s="19">
        <v>1.1000000000000001E-7</v>
      </c>
      <c r="F55" s="21">
        <f t="shared" si="23"/>
        <v>5.5000000000000003E-8</v>
      </c>
      <c r="G55" s="171">
        <f t="shared" si="21"/>
        <v>0.14864864864864866</v>
      </c>
      <c r="H55" s="171">
        <f t="shared" si="14"/>
        <v>7.4324324324324328E-2</v>
      </c>
      <c r="I55" s="56">
        <v>10</v>
      </c>
      <c r="J55" s="21">
        <f t="shared" si="16"/>
        <v>800</v>
      </c>
      <c r="K55" s="31">
        <v>7.9999999999999996E-7</v>
      </c>
      <c r="L55" s="57">
        <v>1E-13</v>
      </c>
      <c r="M55" s="57">
        <f t="shared" si="17"/>
        <v>0.1</v>
      </c>
      <c r="N55" s="19" t="s">
        <v>95</v>
      </c>
      <c r="T55" s="31">
        <f t="shared" si="18"/>
        <v>2000000000000</v>
      </c>
      <c r="U55" s="31">
        <f t="shared" si="19"/>
        <v>20000000000000</v>
      </c>
      <c r="V55" s="32">
        <f t="shared" si="20"/>
        <v>2</v>
      </c>
      <c r="W55" s="31">
        <f>Z55/K55</f>
        <v>0.92500000000000004</v>
      </c>
      <c r="X55" s="31">
        <v>6.3E-7</v>
      </c>
      <c r="Y55" s="21">
        <v>8.5000000000000001E-7</v>
      </c>
      <c r="Z55" s="21">
        <f>(X55+Y55)/2</f>
        <v>7.4000000000000001E-7</v>
      </c>
      <c r="AA55" s="21">
        <f>(Y55-X55)/2</f>
        <v>1.1000000000000001E-7</v>
      </c>
      <c r="AB55" s="116">
        <f>AA55/Z55</f>
        <v>0.14864864864864866</v>
      </c>
      <c r="AF55" s="21">
        <v>7.4000000000000001E-7</v>
      </c>
      <c r="AG55" s="21">
        <v>1.1000000000000001E-7</v>
      </c>
      <c r="AH55" s="22">
        <v>0.14864864864864866</v>
      </c>
      <c r="AM55" s="19" t="s">
        <v>54</v>
      </c>
      <c r="AN55" s="105" t="s">
        <v>86</v>
      </c>
      <c r="AO55" s="55">
        <v>40389</v>
      </c>
      <c r="AP55" s="21">
        <f t="shared" si="24"/>
        <v>0.92500000000000004</v>
      </c>
    </row>
    <row r="56" spans="1:50" ht="15" customHeight="1">
      <c r="A56" s="23"/>
      <c r="B56" s="21">
        <f t="shared" si="22"/>
        <v>0.87410714285714275</v>
      </c>
      <c r="C56" s="19">
        <f t="shared" si="15"/>
        <v>699.28571428571422</v>
      </c>
      <c r="D56" s="19">
        <v>6.9928571428571425E-7</v>
      </c>
      <c r="E56" s="19">
        <v>2.5000000000000002E-8</v>
      </c>
      <c r="F56" s="21">
        <f t="shared" si="23"/>
        <v>1.2500000000000001E-8</v>
      </c>
      <c r="G56" s="171">
        <f t="shared" si="21"/>
        <v>3.5750766087844742E-2</v>
      </c>
      <c r="H56" s="171">
        <f t="shared" si="14"/>
        <v>1.7875383043922371E-2</v>
      </c>
      <c r="I56" s="19">
        <v>10</v>
      </c>
      <c r="J56" s="21">
        <f t="shared" si="16"/>
        <v>800</v>
      </c>
      <c r="K56" s="31">
        <v>7.9999999999999996E-7</v>
      </c>
      <c r="L56" s="57">
        <v>1E-13</v>
      </c>
      <c r="M56" s="57">
        <f t="shared" si="17"/>
        <v>0.1</v>
      </c>
      <c r="N56" s="19" t="s">
        <v>89</v>
      </c>
      <c r="O56" s="19" t="s">
        <v>142</v>
      </c>
      <c r="P56" s="21">
        <v>2.0000000000000002E-5</v>
      </c>
      <c r="Q56" s="128">
        <f t="shared" ref="Q56:Q62" si="29">P56*1000000</f>
        <v>20</v>
      </c>
      <c r="R56" s="19">
        <v>0</v>
      </c>
      <c r="S56" s="19" t="s">
        <v>13</v>
      </c>
      <c r="T56" s="31">
        <f t="shared" si="18"/>
        <v>0</v>
      </c>
      <c r="U56" s="31">
        <f t="shared" si="19"/>
        <v>0</v>
      </c>
      <c r="V56" s="32">
        <f t="shared" si="20"/>
        <v>0</v>
      </c>
      <c r="W56" s="31">
        <f t="shared" ref="W56:W72" si="30">AF56/K56</f>
        <v>0.87410714285714286</v>
      </c>
      <c r="Z56" s="21"/>
      <c r="AC56" s="19">
        <v>7</v>
      </c>
      <c r="AD56" s="29">
        <v>4.7199999999999997E-6</v>
      </c>
      <c r="AE56" s="29">
        <v>5.0699999999999997E-6</v>
      </c>
      <c r="AF56" s="21">
        <f t="shared" ref="AF56:AF72" si="31">(AE56+AD56)/(2*AC56)</f>
        <v>6.9928571428571425E-7</v>
      </c>
      <c r="AG56" s="21">
        <f t="shared" ref="AG56:AG72" si="32">(AE56-AD56)/(2*AC56)</f>
        <v>2.5000000000000002E-8</v>
      </c>
      <c r="AH56" s="22">
        <f>AG56/AF56</f>
        <v>3.5750766087844742E-2</v>
      </c>
      <c r="AI56" s="19" t="s">
        <v>140</v>
      </c>
      <c r="AJ56" s="19" t="s">
        <v>139</v>
      </c>
      <c r="AM56" s="19" t="s">
        <v>54</v>
      </c>
      <c r="AN56" s="105" t="s">
        <v>86</v>
      </c>
      <c r="AO56" s="55">
        <v>40354</v>
      </c>
      <c r="AP56" s="21">
        <f t="shared" si="24"/>
        <v>0.87410714285714286</v>
      </c>
    </row>
    <row r="57" spans="1:50" s="16" customFormat="1" ht="15" hidden="1" customHeight="1">
      <c r="A57" s="15" t="s">
        <v>62</v>
      </c>
      <c r="B57" s="19"/>
      <c r="C57" s="19">
        <f t="shared" si="15"/>
        <v>0</v>
      </c>
      <c r="D57" s="16">
        <v>0</v>
      </c>
      <c r="E57" s="16">
        <v>0</v>
      </c>
      <c r="F57" s="19"/>
      <c r="G57" s="21" t="e">
        <f t="shared" si="21"/>
        <v>#DIV/0!</v>
      </c>
      <c r="H57" s="171" t="e">
        <f t="shared" si="14"/>
        <v>#DIV/0!</v>
      </c>
      <c r="I57" s="16">
        <v>10</v>
      </c>
      <c r="J57" s="21">
        <f t="shared" si="16"/>
        <v>800</v>
      </c>
      <c r="K57" s="34">
        <v>7.9999999999999996E-7</v>
      </c>
      <c r="L57" s="61">
        <v>1E-13</v>
      </c>
      <c r="M57" s="61">
        <f t="shared" si="17"/>
        <v>0.1</v>
      </c>
      <c r="N57" s="16" t="s">
        <v>89</v>
      </c>
      <c r="O57" s="16" t="s">
        <v>142</v>
      </c>
      <c r="P57" s="35">
        <v>1.0000000000000001E-5</v>
      </c>
      <c r="Q57" s="160">
        <f t="shared" si="29"/>
        <v>10</v>
      </c>
      <c r="R57" s="16">
        <v>0</v>
      </c>
      <c r="S57" s="16" t="s">
        <v>13</v>
      </c>
      <c r="T57" s="34" t="e">
        <f t="shared" si="18"/>
        <v>#VALUE!</v>
      </c>
      <c r="U57" s="34" t="e">
        <f t="shared" si="19"/>
        <v>#VALUE!</v>
      </c>
      <c r="V57" s="36" t="e">
        <f t="shared" si="20"/>
        <v>#VALUE!</v>
      </c>
      <c r="W57" s="34">
        <f t="shared" si="30"/>
        <v>0</v>
      </c>
      <c r="X57" s="122"/>
      <c r="Y57" s="62"/>
      <c r="AB57" s="114"/>
      <c r="AC57" s="16">
        <v>1</v>
      </c>
      <c r="AD57" s="63">
        <v>0</v>
      </c>
      <c r="AE57" s="63">
        <v>0</v>
      </c>
      <c r="AF57" s="35">
        <f t="shared" si="31"/>
        <v>0</v>
      </c>
      <c r="AG57" s="35">
        <f t="shared" si="32"/>
        <v>0</v>
      </c>
      <c r="AH57" s="64"/>
      <c r="AI57" s="16" t="s">
        <v>140</v>
      </c>
      <c r="AJ57" s="16" t="s">
        <v>139</v>
      </c>
      <c r="AM57" s="19" t="s">
        <v>54</v>
      </c>
      <c r="AN57" s="105" t="s">
        <v>86</v>
      </c>
      <c r="AO57" s="59">
        <v>40354</v>
      </c>
    </row>
    <row r="58" spans="1:50" ht="15" customHeight="1">
      <c r="A58" s="23"/>
      <c r="B58" s="21">
        <f t="shared" ref="B58:B84" si="33">C58/J58</f>
        <v>0.92916666666666659</v>
      </c>
      <c r="C58" s="19">
        <f t="shared" si="15"/>
        <v>743.33333333333326</v>
      </c>
      <c r="D58" s="19">
        <v>7.4333333333333324E-7</v>
      </c>
      <c r="E58" s="19">
        <v>7.6666666666666705E-8</v>
      </c>
      <c r="F58" s="21">
        <f t="shared" ref="F58:F75" si="34">E58/2</f>
        <v>3.8333333333333352E-8</v>
      </c>
      <c r="G58" s="171">
        <f t="shared" si="21"/>
        <v>0.10313901345291486</v>
      </c>
      <c r="H58" s="171">
        <f t="shared" si="14"/>
        <v>5.156950672645743E-2</v>
      </c>
      <c r="I58" s="19">
        <v>10</v>
      </c>
      <c r="J58" s="21">
        <f t="shared" si="16"/>
        <v>800</v>
      </c>
      <c r="K58" s="31">
        <v>7.9999999999999996E-7</v>
      </c>
      <c r="L58" s="57">
        <v>1E-13</v>
      </c>
      <c r="M58" s="57">
        <f t="shared" si="17"/>
        <v>0.1</v>
      </c>
      <c r="N58" s="19" t="s">
        <v>89</v>
      </c>
      <c r="O58" s="19" t="s">
        <v>142</v>
      </c>
      <c r="P58" s="21">
        <v>4.5299999999999998E-6</v>
      </c>
      <c r="Q58" s="128">
        <f t="shared" si="29"/>
        <v>4.53</v>
      </c>
      <c r="R58" s="19">
        <v>0</v>
      </c>
      <c r="S58" s="19" t="s">
        <v>13</v>
      </c>
      <c r="T58" s="31">
        <f t="shared" si="18"/>
        <v>0</v>
      </c>
      <c r="U58" s="31">
        <f t="shared" si="19"/>
        <v>0</v>
      </c>
      <c r="V58" s="32">
        <f t="shared" si="20"/>
        <v>0</v>
      </c>
      <c r="W58" s="31">
        <f t="shared" si="30"/>
        <v>0.92916666666666659</v>
      </c>
      <c r="AC58" s="19">
        <v>3</v>
      </c>
      <c r="AD58" s="29">
        <v>1.9999999999999999E-6</v>
      </c>
      <c r="AE58" s="29">
        <v>2.4600000000000002E-6</v>
      </c>
      <c r="AF58" s="21">
        <f t="shared" si="31"/>
        <v>7.4333333333333324E-7</v>
      </c>
      <c r="AG58" s="21">
        <f t="shared" si="32"/>
        <v>7.6666666666666705E-8</v>
      </c>
      <c r="AH58" s="22">
        <f t="shared" ref="AH58:AH72" si="35">AG58/AF58</f>
        <v>0.10313901345291486</v>
      </c>
      <c r="AI58" s="19" t="s">
        <v>140</v>
      </c>
      <c r="AJ58" s="19" t="s">
        <v>139</v>
      </c>
      <c r="AM58" s="19" t="s">
        <v>54</v>
      </c>
      <c r="AN58" s="105" t="s">
        <v>86</v>
      </c>
      <c r="AO58" s="55">
        <v>40354</v>
      </c>
      <c r="AP58" s="21">
        <f t="shared" ref="AP58:AP82" si="36">D58/K58</f>
        <v>0.92916666666666659</v>
      </c>
    </row>
    <row r="59" spans="1:50" ht="15" customHeight="1">
      <c r="A59" s="23"/>
      <c r="B59" s="21">
        <f t="shared" si="33"/>
        <v>0.90625000000000011</v>
      </c>
      <c r="C59" s="19">
        <f t="shared" si="15"/>
        <v>725.00000000000011</v>
      </c>
      <c r="D59" s="19">
        <v>7.2500000000000015E-7</v>
      </c>
      <c r="E59" s="19">
        <v>3.6666666666666671E-8</v>
      </c>
      <c r="F59" s="21">
        <f t="shared" si="34"/>
        <v>1.8333333333333335E-8</v>
      </c>
      <c r="G59" s="171">
        <f t="shared" si="21"/>
        <v>5.0574712643678153E-2</v>
      </c>
      <c r="H59" s="171">
        <f t="shared" si="14"/>
        <v>2.5287356321839077E-2</v>
      </c>
      <c r="I59" s="19">
        <v>10</v>
      </c>
      <c r="J59" s="21">
        <f t="shared" si="16"/>
        <v>800</v>
      </c>
      <c r="K59" s="31">
        <v>7.9999999999999996E-7</v>
      </c>
      <c r="L59" s="57">
        <v>1E-13</v>
      </c>
      <c r="M59" s="57">
        <f t="shared" si="17"/>
        <v>0.1</v>
      </c>
      <c r="N59" s="19" t="s">
        <v>89</v>
      </c>
      <c r="O59" s="19" t="s">
        <v>142</v>
      </c>
      <c r="P59" s="21">
        <v>6.7000000000000002E-6</v>
      </c>
      <c r="Q59" s="128">
        <f t="shared" si="29"/>
        <v>6.7</v>
      </c>
      <c r="R59" s="19">
        <v>0</v>
      </c>
      <c r="S59" s="19" t="s">
        <v>13</v>
      </c>
      <c r="T59" s="31">
        <f t="shared" si="18"/>
        <v>0</v>
      </c>
      <c r="U59" s="31">
        <f t="shared" si="19"/>
        <v>0</v>
      </c>
      <c r="V59" s="32">
        <f t="shared" si="20"/>
        <v>0</v>
      </c>
      <c r="W59" s="23">
        <f t="shared" si="30"/>
        <v>0.90625000000000022</v>
      </c>
      <c r="AC59" s="19">
        <v>6</v>
      </c>
      <c r="AD59" s="29">
        <v>4.1300000000000003E-6</v>
      </c>
      <c r="AE59" s="29">
        <v>4.5700000000000003E-6</v>
      </c>
      <c r="AF59" s="21">
        <f t="shared" si="31"/>
        <v>7.2500000000000015E-7</v>
      </c>
      <c r="AG59" s="21">
        <f t="shared" si="32"/>
        <v>3.6666666666666671E-8</v>
      </c>
      <c r="AH59" s="22">
        <f t="shared" si="35"/>
        <v>5.0574712643678153E-2</v>
      </c>
      <c r="AI59" s="19" t="s">
        <v>140</v>
      </c>
      <c r="AJ59" s="19" t="s">
        <v>139</v>
      </c>
      <c r="AM59" s="19" t="s">
        <v>54</v>
      </c>
      <c r="AN59" s="105" t="s">
        <v>86</v>
      </c>
      <c r="AO59" s="55">
        <v>40354</v>
      </c>
      <c r="AP59" s="21">
        <f t="shared" si="36"/>
        <v>0.90625000000000022</v>
      </c>
    </row>
    <row r="60" spans="1:50" ht="15" customHeight="1">
      <c r="A60" s="23"/>
      <c r="B60" s="21">
        <f t="shared" si="33"/>
        <v>0.87916666666666676</v>
      </c>
      <c r="C60" s="19">
        <f t="shared" si="15"/>
        <v>703.33333333333337</v>
      </c>
      <c r="D60" s="19">
        <v>7.0333333333333341E-7</v>
      </c>
      <c r="E60" s="19">
        <v>3.5000000000000016E-8</v>
      </c>
      <c r="F60" s="21">
        <f t="shared" si="34"/>
        <v>1.7500000000000008E-8</v>
      </c>
      <c r="G60" s="171">
        <f t="shared" si="21"/>
        <v>4.9763033175355464E-2</v>
      </c>
      <c r="H60" s="171">
        <f t="shared" si="14"/>
        <v>2.4881516587677732E-2</v>
      </c>
      <c r="I60" s="19">
        <v>10</v>
      </c>
      <c r="J60" s="21">
        <f t="shared" si="16"/>
        <v>800</v>
      </c>
      <c r="K60" s="31">
        <v>7.9999999999999996E-7</v>
      </c>
      <c r="L60" s="57">
        <v>1E-13</v>
      </c>
      <c r="M60" s="57">
        <f t="shared" si="17"/>
        <v>0.1</v>
      </c>
      <c r="N60" s="19" t="s">
        <v>89</v>
      </c>
      <c r="O60" s="19" t="s">
        <v>142</v>
      </c>
      <c r="P60" s="21">
        <v>5.2900000000000002E-6</v>
      </c>
      <c r="Q60" s="128">
        <f t="shared" si="29"/>
        <v>5.29</v>
      </c>
      <c r="R60" s="19">
        <v>0</v>
      </c>
      <c r="S60" s="19" t="s">
        <v>13</v>
      </c>
      <c r="T60" s="31">
        <f t="shared" si="18"/>
        <v>0</v>
      </c>
      <c r="U60" s="31">
        <f t="shared" si="19"/>
        <v>0</v>
      </c>
      <c r="V60" s="32">
        <f t="shared" si="20"/>
        <v>0</v>
      </c>
      <c r="W60" s="23">
        <f t="shared" si="30"/>
        <v>0.87916666666666676</v>
      </c>
      <c r="AC60" s="19">
        <v>6</v>
      </c>
      <c r="AD60" s="29">
        <v>4.0099999999999997E-6</v>
      </c>
      <c r="AE60" s="29">
        <v>4.4299999999999999E-6</v>
      </c>
      <c r="AF60" s="21">
        <f t="shared" si="31"/>
        <v>7.0333333333333341E-7</v>
      </c>
      <c r="AG60" s="21">
        <f t="shared" si="32"/>
        <v>3.5000000000000016E-8</v>
      </c>
      <c r="AH60" s="22">
        <f t="shared" si="35"/>
        <v>4.9763033175355464E-2</v>
      </c>
      <c r="AI60" s="19" t="s">
        <v>140</v>
      </c>
      <c r="AJ60" s="19" t="s">
        <v>139</v>
      </c>
      <c r="AM60" s="19" t="s">
        <v>54</v>
      </c>
      <c r="AN60" s="105" t="s">
        <v>86</v>
      </c>
      <c r="AO60" s="55">
        <v>40354</v>
      </c>
      <c r="AP60" s="21">
        <f t="shared" si="36"/>
        <v>0.87916666666666676</v>
      </c>
    </row>
    <row r="61" spans="1:50" ht="15" customHeight="1">
      <c r="A61" s="23"/>
      <c r="B61" s="21">
        <f t="shared" si="33"/>
        <v>0.9609375</v>
      </c>
      <c r="C61" s="19">
        <f t="shared" si="15"/>
        <v>768.75</v>
      </c>
      <c r="D61" s="19">
        <v>7.6875000000000005E-7</v>
      </c>
      <c r="E61" s="19">
        <v>2.9999999999999977E-8</v>
      </c>
      <c r="F61" s="21">
        <f t="shared" si="34"/>
        <v>1.4999999999999989E-8</v>
      </c>
      <c r="G61" s="171">
        <f t="shared" si="21"/>
        <v>3.9024390243902404E-2</v>
      </c>
      <c r="H61" s="171">
        <f t="shared" si="14"/>
        <v>1.9512195121951202E-2</v>
      </c>
      <c r="I61" s="19">
        <v>10</v>
      </c>
      <c r="J61" s="21">
        <f t="shared" si="16"/>
        <v>800</v>
      </c>
      <c r="K61" s="31">
        <v>7.9999999999999996E-7</v>
      </c>
      <c r="L61" s="57">
        <v>1E-13</v>
      </c>
      <c r="M61" s="57">
        <f t="shared" si="17"/>
        <v>0.1</v>
      </c>
      <c r="N61" s="19" t="s">
        <v>89</v>
      </c>
      <c r="O61" s="19" t="s">
        <v>142</v>
      </c>
      <c r="P61" s="21">
        <v>1.5E-5</v>
      </c>
      <c r="Q61" s="128">
        <f t="shared" si="29"/>
        <v>15</v>
      </c>
      <c r="R61" s="19">
        <v>0</v>
      </c>
      <c r="S61" s="19" t="s">
        <v>13</v>
      </c>
      <c r="T61" s="31">
        <f t="shared" si="18"/>
        <v>0</v>
      </c>
      <c r="U61" s="31">
        <f t="shared" si="19"/>
        <v>0</v>
      </c>
      <c r="V61" s="32">
        <f t="shared" si="20"/>
        <v>0</v>
      </c>
      <c r="W61" s="23">
        <f t="shared" si="30"/>
        <v>0.96093750000000011</v>
      </c>
      <c r="AC61" s="19">
        <v>8</v>
      </c>
      <c r="AD61" s="29">
        <v>5.9100000000000002E-6</v>
      </c>
      <c r="AE61" s="29">
        <v>6.3899999999999998E-6</v>
      </c>
      <c r="AF61" s="21">
        <f t="shared" si="31"/>
        <v>7.6875000000000005E-7</v>
      </c>
      <c r="AG61" s="21">
        <f t="shared" si="32"/>
        <v>2.9999999999999977E-8</v>
      </c>
      <c r="AH61" s="22">
        <f t="shared" si="35"/>
        <v>3.9024390243902404E-2</v>
      </c>
      <c r="AI61" s="19" t="s">
        <v>140</v>
      </c>
      <c r="AJ61" s="19" t="s">
        <v>139</v>
      </c>
      <c r="AM61" s="19" t="s">
        <v>54</v>
      </c>
      <c r="AN61" s="105" t="s">
        <v>86</v>
      </c>
      <c r="AO61" s="55">
        <v>40354</v>
      </c>
      <c r="AP61" s="21">
        <f t="shared" si="36"/>
        <v>0.96093750000000011</v>
      </c>
    </row>
    <row r="62" spans="1:50" ht="15" customHeight="1">
      <c r="A62" s="23"/>
      <c r="B62" s="21">
        <f t="shared" si="33"/>
        <v>0.89375000000000004</v>
      </c>
      <c r="C62" s="19">
        <f t="shared" si="15"/>
        <v>715</v>
      </c>
      <c r="D62" s="19">
        <v>7.1500000000000004E-7</v>
      </c>
      <c r="E62" s="19">
        <v>9.9999999999999995E-8</v>
      </c>
      <c r="F62" s="21">
        <f t="shared" si="34"/>
        <v>4.9999999999999998E-8</v>
      </c>
      <c r="G62" s="171">
        <f t="shared" si="21"/>
        <v>0.13986013986013984</v>
      </c>
      <c r="H62" s="171">
        <f t="shared" si="14"/>
        <v>6.9930069930069921E-2</v>
      </c>
      <c r="I62" s="19">
        <v>10</v>
      </c>
      <c r="J62" s="21">
        <f t="shared" si="16"/>
        <v>800</v>
      </c>
      <c r="K62" s="31">
        <v>7.9999999999999996E-7</v>
      </c>
      <c r="L62" s="57">
        <v>1E-13</v>
      </c>
      <c r="M62" s="57">
        <f t="shared" si="17"/>
        <v>0.1</v>
      </c>
      <c r="N62" s="19" t="s">
        <v>89</v>
      </c>
      <c r="O62" s="19" t="s">
        <v>142</v>
      </c>
      <c r="P62" s="21">
        <v>1.4E-5</v>
      </c>
      <c r="Q62" s="128">
        <f t="shared" si="29"/>
        <v>14</v>
      </c>
      <c r="R62" s="19">
        <v>0</v>
      </c>
      <c r="S62" s="19" t="s">
        <v>13</v>
      </c>
      <c r="T62" s="21">
        <f t="shared" si="18"/>
        <v>0</v>
      </c>
      <c r="U62" s="21">
        <f t="shared" si="19"/>
        <v>0</v>
      </c>
      <c r="V62" s="32">
        <f t="shared" si="20"/>
        <v>0</v>
      </c>
      <c r="W62" s="23">
        <f t="shared" si="30"/>
        <v>0.89375000000000004</v>
      </c>
      <c r="AC62" s="19">
        <v>2</v>
      </c>
      <c r="AD62" s="29">
        <v>1.2300000000000001E-6</v>
      </c>
      <c r="AE62" s="29">
        <v>1.6300000000000001E-6</v>
      </c>
      <c r="AF62" s="21">
        <f t="shared" si="31"/>
        <v>7.1500000000000004E-7</v>
      </c>
      <c r="AG62" s="21">
        <f t="shared" si="32"/>
        <v>9.9999999999999995E-8</v>
      </c>
      <c r="AH62" s="22">
        <f t="shared" si="35"/>
        <v>0.13986013986013984</v>
      </c>
      <c r="AI62" s="19" t="s">
        <v>140</v>
      </c>
      <c r="AJ62" s="19" t="s">
        <v>139</v>
      </c>
      <c r="AM62" s="19" t="s">
        <v>54</v>
      </c>
      <c r="AN62" s="105" t="s">
        <v>86</v>
      </c>
      <c r="AO62" s="55">
        <v>40354</v>
      </c>
      <c r="AP62" s="21">
        <f t="shared" si="36"/>
        <v>0.89375000000000004</v>
      </c>
    </row>
    <row r="63" spans="1:50" ht="15" customHeight="1">
      <c r="A63" s="23">
        <v>0.1</v>
      </c>
      <c r="B63" s="21">
        <f t="shared" si="33"/>
        <v>0.94411764705882351</v>
      </c>
      <c r="C63" s="19">
        <f t="shared" si="15"/>
        <v>755.29411764705878</v>
      </c>
      <c r="D63" s="19">
        <v>7.5529411764705878E-7</v>
      </c>
      <c r="E63" s="19">
        <v>1.6470588235294109E-8</v>
      </c>
      <c r="F63" s="21">
        <f t="shared" si="34"/>
        <v>8.2352941176470547E-9</v>
      </c>
      <c r="G63" s="171">
        <f t="shared" si="21"/>
        <v>2.1806853582554509E-2</v>
      </c>
      <c r="H63" s="171">
        <f t="shared" si="14"/>
        <v>1.0903426791277255E-2</v>
      </c>
      <c r="I63" s="56">
        <v>11</v>
      </c>
      <c r="J63" s="21">
        <f t="shared" si="16"/>
        <v>800</v>
      </c>
      <c r="K63" s="31">
        <v>7.9999999999999996E-7</v>
      </c>
      <c r="L63" s="57">
        <v>1E-13</v>
      </c>
      <c r="M63" s="57">
        <f t="shared" si="17"/>
        <v>0.1</v>
      </c>
      <c r="N63" s="19" t="s">
        <v>89</v>
      </c>
      <c r="R63" s="19">
        <v>0</v>
      </c>
      <c r="S63" s="19" t="s">
        <v>13</v>
      </c>
      <c r="T63" s="21">
        <f t="shared" si="18"/>
        <v>1000000000000</v>
      </c>
      <c r="U63" s="21">
        <f t="shared" si="19"/>
        <v>11000000000000</v>
      </c>
      <c r="V63" s="32">
        <f t="shared" si="20"/>
        <v>1.1000000000000001</v>
      </c>
      <c r="W63" s="31">
        <f t="shared" si="30"/>
        <v>0.94411764705882351</v>
      </c>
      <c r="AC63" s="19">
        <v>17</v>
      </c>
      <c r="AD63" s="29">
        <v>1.256E-5</v>
      </c>
      <c r="AE63" s="29">
        <v>1.312E-5</v>
      </c>
      <c r="AF63" s="21">
        <f t="shared" si="31"/>
        <v>7.5529411764705878E-7</v>
      </c>
      <c r="AG63" s="21">
        <f t="shared" si="32"/>
        <v>1.6470588235294109E-8</v>
      </c>
      <c r="AH63" s="22">
        <f t="shared" si="35"/>
        <v>2.1806853582554509E-2</v>
      </c>
      <c r="AI63" s="58" t="s">
        <v>93</v>
      </c>
      <c r="AM63" s="19" t="s">
        <v>54</v>
      </c>
      <c r="AN63" s="105" t="s">
        <v>86</v>
      </c>
      <c r="AO63" s="55">
        <v>40389</v>
      </c>
      <c r="AP63" s="21">
        <f t="shared" si="36"/>
        <v>0.94411764705882351</v>
      </c>
    </row>
    <row r="64" spans="1:50" ht="15" customHeight="1">
      <c r="A64" s="23">
        <v>0.1</v>
      </c>
      <c r="B64" s="21">
        <f t="shared" si="33"/>
        <v>0.9257352941176471</v>
      </c>
      <c r="C64" s="19">
        <f t="shared" si="15"/>
        <v>740.58823529411768</v>
      </c>
      <c r="D64" s="19">
        <v>7.4058823529411763E-7</v>
      </c>
      <c r="E64" s="19">
        <v>1.7058823529411752E-8</v>
      </c>
      <c r="F64" s="21">
        <f t="shared" si="34"/>
        <v>8.5294117647058762E-9</v>
      </c>
      <c r="G64" s="171">
        <f t="shared" si="21"/>
        <v>2.3034154090548039E-2</v>
      </c>
      <c r="H64" s="171">
        <f t="shared" si="14"/>
        <v>1.1517077045274019E-2</v>
      </c>
      <c r="I64" s="56">
        <v>12</v>
      </c>
      <c r="J64" s="21">
        <f t="shared" si="16"/>
        <v>800</v>
      </c>
      <c r="K64" s="31">
        <v>7.9999999999999996E-7</v>
      </c>
      <c r="L64" s="57">
        <v>1E-13</v>
      </c>
      <c r="M64" s="57">
        <f t="shared" si="17"/>
        <v>0.1</v>
      </c>
      <c r="N64" s="19" t="s">
        <v>89</v>
      </c>
      <c r="R64" s="19">
        <v>0</v>
      </c>
      <c r="S64" s="19" t="s">
        <v>13</v>
      </c>
      <c r="T64" s="21">
        <f t="shared" si="18"/>
        <v>1000000000000</v>
      </c>
      <c r="U64" s="21">
        <f t="shared" si="19"/>
        <v>12000000000000</v>
      </c>
      <c r="V64" s="32">
        <f t="shared" si="20"/>
        <v>1.2000000000000002</v>
      </c>
      <c r="W64" s="31">
        <f t="shared" si="30"/>
        <v>0.9257352941176471</v>
      </c>
      <c r="AC64" s="19">
        <v>17</v>
      </c>
      <c r="AD64" s="29">
        <v>1.2300000000000001E-5</v>
      </c>
      <c r="AE64" s="29">
        <v>1.288E-5</v>
      </c>
      <c r="AF64" s="21">
        <f t="shared" si="31"/>
        <v>7.4058823529411763E-7</v>
      </c>
      <c r="AG64" s="21">
        <f t="shared" si="32"/>
        <v>1.7058823529411752E-8</v>
      </c>
      <c r="AH64" s="22">
        <f t="shared" si="35"/>
        <v>2.3034154090548039E-2</v>
      </c>
      <c r="AI64" s="58" t="s">
        <v>93</v>
      </c>
      <c r="AM64" s="19" t="s">
        <v>54</v>
      </c>
      <c r="AN64" s="105" t="s">
        <v>86</v>
      </c>
      <c r="AO64" s="102">
        <v>40389</v>
      </c>
      <c r="AP64" s="21">
        <f t="shared" si="36"/>
        <v>0.9257352941176471</v>
      </c>
    </row>
    <row r="65" spans="1:50" ht="15" customHeight="1">
      <c r="A65" s="23">
        <v>0.1</v>
      </c>
      <c r="B65" s="21">
        <f t="shared" si="33"/>
        <v>0.93562500000000004</v>
      </c>
      <c r="C65" s="19">
        <f t="shared" si="15"/>
        <v>748.5</v>
      </c>
      <c r="D65" s="19">
        <v>7.4850000000000001E-7</v>
      </c>
      <c r="E65" s="19">
        <v>2.7500000000000034E-8</v>
      </c>
      <c r="F65" s="21">
        <f t="shared" si="34"/>
        <v>1.3750000000000017E-8</v>
      </c>
      <c r="G65" s="171">
        <f t="shared" si="21"/>
        <v>3.6740146960587888E-2</v>
      </c>
      <c r="H65" s="171">
        <f t="shared" si="14"/>
        <v>1.8370073480293944E-2</v>
      </c>
      <c r="I65" s="56">
        <v>13</v>
      </c>
      <c r="J65" s="21">
        <f t="shared" si="16"/>
        <v>800</v>
      </c>
      <c r="K65" s="31">
        <v>7.9999999999999996E-7</v>
      </c>
      <c r="L65" s="57">
        <v>1E-13</v>
      </c>
      <c r="M65" s="57">
        <f t="shared" si="17"/>
        <v>0.1</v>
      </c>
      <c r="N65" s="19" t="s">
        <v>89</v>
      </c>
      <c r="R65" s="19">
        <v>0</v>
      </c>
      <c r="S65" s="19" t="s">
        <v>13</v>
      </c>
      <c r="T65" s="21">
        <f t="shared" si="18"/>
        <v>1000000000000</v>
      </c>
      <c r="U65" s="21">
        <f t="shared" si="19"/>
        <v>13000000000000</v>
      </c>
      <c r="V65" s="32">
        <f t="shared" si="20"/>
        <v>1.3</v>
      </c>
      <c r="W65" s="31">
        <f t="shared" si="30"/>
        <v>0.93562500000000004</v>
      </c>
      <c r="AC65" s="19">
        <v>10</v>
      </c>
      <c r="AD65" s="29">
        <v>7.2099999999999996E-6</v>
      </c>
      <c r="AE65" s="29">
        <v>7.7600000000000002E-6</v>
      </c>
      <c r="AF65" s="21">
        <f t="shared" si="31"/>
        <v>7.4850000000000001E-7</v>
      </c>
      <c r="AG65" s="21">
        <f t="shared" si="32"/>
        <v>2.7500000000000034E-8</v>
      </c>
      <c r="AH65" s="22">
        <f t="shared" si="35"/>
        <v>3.6740146960587888E-2</v>
      </c>
      <c r="AI65" s="58" t="s">
        <v>93</v>
      </c>
      <c r="AM65" s="19" t="s">
        <v>54</v>
      </c>
      <c r="AN65" s="105" t="s">
        <v>86</v>
      </c>
      <c r="AO65" s="102">
        <v>40389</v>
      </c>
      <c r="AP65" s="21">
        <f t="shared" si="36"/>
        <v>0.93562500000000004</v>
      </c>
    </row>
    <row r="66" spans="1:50" ht="15" customHeight="1">
      <c r="A66" s="23">
        <v>0.1</v>
      </c>
      <c r="B66" s="21">
        <f t="shared" si="33"/>
        <v>0.92239583333333319</v>
      </c>
      <c r="C66" s="19">
        <f t="shared" ref="C66:C84" si="37">1000000000*D66</f>
        <v>737.91666666666652</v>
      </c>
      <c r="D66" s="19">
        <v>7.3791666666666655E-7</v>
      </c>
      <c r="E66" s="19">
        <v>1.9583333333333287E-8</v>
      </c>
      <c r="F66" s="21">
        <f t="shared" si="34"/>
        <v>9.7916666666666435E-9</v>
      </c>
      <c r="G66" s="171">
        <f t="shared" si="21"/>
        <v>2.6538678712591697E-2</v>
      </c>
      <c r="H66" s="171">
        <f t="shared" si="14"/>
        <v>1.3269339356295849E-2</v>
      </c>
      <c r="I66" s="56">
        <v>14</v>
      </c>
      <c r="J66" s="21">
        <f t="shared" ref="J66:J82" si="38">1000000000*K66</f>
        <v>800</v>
      </c>
      <c r="K66" s="31">
        <v>7.9999999999999996E-7</v>
      </c>
      <c r="L66" s="57">
        <v>1E-13</v>
      </c>
      <c r="M66" s="57">
        <f t="shared" ref="M66:M83" si="39">L66*1000000000000</f>
        <v>0.1</v>
      </c>
      <c r="N66" s="19" t="s">
        <v>89</v>
      </c>
      <c r="R66" s="19">
        <v>0</v>
      </c>
      <c r="S66" s="19" t="s">
        <v>13</v>
      </c>
      <c r="T66" s="21">
        <f t="shared" ref="T66:T89" si="40">A66/L66</f>
        <v>1000000000000</v>
      </c>
      <c r="U66" s="21">
        <f t="shared" ref="U66:U83" si="41">I66*T66</f>
        <v>14000000000000</v>
      </c>
      <c r="V66" s="32">
        <f t="shared" ref="V66:V89" si="42">I66*A66</f>
        <v>1.4000000000000001</v>
      </c>
      <c r="W66" s="31">
        <f t="shared" si="30"/>
        <v>0.92239583333333319</v>
      </c>
      <c r="AC66" s="19">
        <v>12</v>
      </c>
      <c r="AD66" s="29">
        <v>8.6200000000000005E-6</v>
      </c>
      <c r="AE66" s="29">
        <v>9.0899999999999994E-6</v>
      </c>
      <c r="AF66" s="21">
        <f t="shared" si="31"/>
        <v>7.3791666666666655E-7</v>
      </c>
      <c r="AG66" s="21">
        <f t="shared" si="32"/>
        <v>1.9583333333333287E-8</v>
      </c>
      <c r="AH66" s="22">
        <f t="shared" si="35"/>
        <v>2.6538678712591697E-2</v>
      </c>
      <c r="AI66" s="58" t="s">
        <v>93</v>
      </c>
      <c r="AM66" s="19" t="s">
        <v>54</v>
      </c>
      <c r="AN66" s="105" t="s">
        <v>86</v>
      </c>
      <c r="AO66" s="102">
        <v>40389</v>
      </c>
      <c r="AP66" s="21">
        <f t="shared" si="36"/>
        <v>0.92239583333333319</v>
      </c>
    </row>
    <row r="67" spans="1:50" ht="15" customHeight="1">
      <c r="A67" s="23">
        <v>0.5</v>
      </c>
      <c r="B67" s="21">
        <f t="shared" si="33"/>
        <v>0.85312499999999991</v>
      </c>
      <c r="C67" s="19">
        <f t="shared" si="37"/>
        <v>682.49999999999989</v>
      </c>
      <c r="D67" s="19">
        <v>6.8249999999999992E-7</v>
      </c>
      <c r="E67" s="19">
        <v>9.5833333333333116E-9</v>
      </c>
      <c r="F67" s="21">
        <f t="shared" si="34"/>
        <v>4.7916666666666558E-9</v>
      </c>
      <c r="G67" s="171">
        <f t="shared" ref="G67:G83" si="43">E67/D67</f>
        <v>1.4041514041514011E-2</v>
      </c>
      <c r="H67" s="171">
        <f t="shared" si="14"/>
        <v>7.0207570207570054E-3</v>
      </c>
      <c r="I67" s="56">
        <v>15</v>
      </c>
      <c r="J67" s="21">
        <f t="shared" si="38"/>
        <v>800</v>
      </c>
      <c r="K67" s="31">
        <v>7.9999999999999996E-7</v>
      </c>
      <c r="L67" s="57">
        <v>1E-13</v>
      </c>
      <c r="M67" s="56">
        <f t="shared" si="39"/>
        <v>0.1</v>
      </c>
      <c r="N67" s="19" t="s">
        <v>95</v>
      </c>
      <c r="R67" s="19">
        <v>0</v>
      </c>
      <c r="S67" s="19" t="s">
        <v>13</v>
      </c>
      <c r="T67" s="19">
        <f t="shared" si="40"/>
        <v>5000000000000</v>
      </c>
      <c r="U67" s="19">
        <f t="shared" si="41"/>
        <v>75000000000000</v>
      </c>
      <c r="V67" s="23">
        <f t="shared" si="42"/>
        <v>7.5</v>
      </c>
      <c r="W67" s="31">
        <f t="shared" si="30"/>
        <v>0.85312499999999991</v>
      </c>
      <c r="AC67" s="19">
        <v>24</v>
      </c>
      <c r="AD67" s="29">
        <v>1.615E-5</v>
      </c>
      <c r="AE67" s="29">
        <v>1.6609999999999999E-5</v>
      </c>
      <c r="AF67" s="21">
        <f t="shared" si="31"/>
        <v>6.8249999999999992E-7</v>
      </c>
      <c r="AG67" s="21">
        <f t="shared" si="32"/>
        <v>9.5833333333333116E-9</v>
      </c>
      <c r="AH67" s="22">
        <f t="shared" si="35"/>
        <v>1.4041514041514011E-2</v>
      </c>
      <c r="AI67" s="19" t="s">
        <v>103</v>
      </c>
      <c r="AM67" s="19" t="s">
        <v>54</v>
      </c>
      <c r="AN67" s="105" t="s">
        <v>86</v>
      </c>
      <c r="AP67" s="21">
        <f t="shared" si="36"/>
        <v>0.85312499999999991</v>
      </c>
    </row>
    <row r="68" spans="1:50" s="25" customFormat="1" ht="15" customHeight="1">
      <c r="A68" s="23">
        <v>0.2</v>
      </c>
      <c r="B68" s="21">
        <f t="shared" si="33"/>
        <v>0.92281249999999981</v>
      </c>
      <c r="C68" s="19">
        <f t="shared" si="37"/>
        <v>738.24999999999989</v>
      </c>
      <c r="D68" s="19">
        <v>7.3824999999999988E-7</v>
      </c>
      <c r="E68" s="19">
        <v>8.7500000000000006E-9</v>
      </c>
      <c r="F68" s="21">
        <f t="shared" si="34"/>
        <v>4.3750000000000003E-9</v>
      </c>
      <c r="G68" s="171">
        <f t="shared" si="43"/>
        <v>1.1852353538774131E-2</v>
      </c>
      <c r="H68" s="171">
        <f t="shared" si="14"/>
        <v>5.9261767693870654E-3</v>
      </c>
      <c r="I68" s="50">
        <v>20</v>
      </c>
      <c r="J68" s="21">
        <f t="shared" si="38"/>
        <v>800</v>
      </c>
      <c r="K68" s="49">
        <v>7.9999999999999996E-7</v>
      </c>
      <c r="L68" s="51">
        <v>1E-13</v>
      </c>
      <c r="M68" s="51">
        <f t="shared" si="39"/>
        <v>0.1</v>
      </c>
      <c r="N68" s="25" t="s">
        <v>95</v>
      </c>
      <c r="Q68" s="19"/>
      <c r="R68" s="25">
        <v>0</v>
      </c>
      <c r="S68" s="25" t="s">
        <v>13</v>
      </c>
      <c r="T68" s="17">
        <f t="shared" si="40"/>
        <v>2000000000000</v>
      </c>
      <c r="U68" s="17">
        <f t="shared" si="41"/>
        <v>40000000000000</v>
      </c>
      <c r="V68" s="52">
        <f t="shared" si="42"/>
        <v>4</v>
      </c>
      <c r="W68" s="49">
        <f t="shared" si="30"/>
        <v>0.92281249999999992</v>
      </c>
      <c r="X68" s="125">
        <v>6.0999999999999998E-7</v>
      </c>
      <c r="Y68" s="28">
        <v>7.7000000000000004E-7</v>
      </c>
      <c r="Z68" s="17">
        <f t="shared" ref="Z68:Z73" si="44">(X68+Y68)/2</f>
        <v>6.8999999999999996E-7</v>
      </c>
      <c r="AA68" s="17">
        <f t="shared" ref="AA68:AA73" si="45">(Y68-X68)/2</f>
        <v>8.0000000000000028E-8</v>
      </c>
      <c r="AB68" s="127">
        <f t="shared" ref="AB68:AB73" si="46">AA68/Z68</f>
        <v>0.11594202898550729</v>
      </c>
      <c r="AC68" s="25">
        <v>20</v>
      </c>
      <c r="AD68" s="28">
        <v>1.4589999999999999E-5</v>
      </c>
      <c r="AE68" s="28">
        <v>1.4939999999999999E-5</v>
      </c>
      <c r="AF68" s="17">
        <f t="shared" si="31"/>
        <v>7.3824999999999988E-7</v>
      </c>
      <c r="AG68" s="17">
        <f t="shared" si="32"/>
        <v>8.7500000000000006E-9</v>
      </c>
      <c r="AH68" s="18">
        <f t="shared" si="35"/>
        <v>1.1852353538774131E-2</v>
      </c>
      <c r="AI68" s="25" t="s">
        <v>14</v>
      </c>
      <c r="AJ68" s="25" t="s">
        <v>9</v>
      </c>
      <c r="AM68" s="25" t="s">
        <v>54</v>
      </c>
      <c r="AN68" s="163" t="s">
        <v>86</v>
      </c>
      <c r="AO68" s="124">
        <v>40253</v>
      </c>
      <c r="AP68" s="21">
        <f t="shared" si="36"/>
        <v>0.92281249999999992</v>
      </c>
    </row>
    <row r="69" spans="1:50" ht="15" customHeight="1">
      <c r="A69" s="131">
        <v>0.313</v>
      </c>
      <c r="B69" s="21">
        <f t="shared" si="33"/>
        <v>0.89374999999999982</v>
      </c>
      <c r="C69" s="132">
        <f t="shared" si="37"/>
        <v>714.99999999999989</v>
      </c>
      <c r="D69" s="71">
        <f>Z69</f>
        <v>7.1499999999999993E-7</v>
      </c>
      <c r="E69" s="71">
        <f>AA69</f>
        <v>1.5000000000000015E-8</v>
      </c>
      <c r="F69" s="21">
        <f t="shared" si="34"/>
        <v>7.5000000000000076E-9</v>
      </c>
      <c r="G69" s="171">
        <f t="shared" si="43"/>
        <v>2.0979020979021001E-2</v>
      </c>
      <c r="H69" s="171">
        <f t="shared" si="14"/>
        <v>1.04895104895105E-2</v>
      </c>
      <c r="I69" s="133">
        <v>20</v>
      </c>
      <c r="J69" s="21">
        <f t="shared" si="38"/>
        <v>800</v>
      </c>
      <c r="K69" s="134">
        <v>7.9999999999999996E-7</v>
      </c>
      <c r="L69" s="135">
        <v>1E-13</v>
      </c>
      <c r="M69" s="135">
        <f t="shared" si="39"/>
        <v>0.1</v>
      </c>
      <c r="N69" s="132" t="s">
        <v>95</v>
      </c>
      <c r="O69" s="132"/>
      <c r="P69" s="132"/>
      <c r="Q69" s="132"/>
      <c r="R69" s="132">
        <v>0</v>
      </c>
      <c r="S69" s="132" t="s">
        <v>13</v>
      </c>
      <c r="T69" s="71">
        <f t="shared" si="40"/>
        <v>3130000000000</v>
      </c>
      <c r="U69" s="71">
        <f t="shared" si="41"/>
        <v>62600000000000</v>
      </c>
      <c r="V69" s="136">
        <f t="shared" si="42"/>
        <v>6.26</v>
      </c>
      <c r="W69" s="134">
        <f t="shared" si="30"/>
        <v>0.72812500000000002</v>
      </c>
      <c r="X69" s="134">
        <v>6.9999999999999997E-7</v>
      </c>
      <c r="Y69" s="71">
        <v>7.3E-7</v>
      </c>
      <c r="Z69" s="21">
        <f t="shared" si="44"/>
        <v>7.1499999999999993E-7</v>
      </c>
      <c r="AA69" s="21">
        <f t="shared" si="45"/>
        <v>1.5000000000000015E-8</v>
      </c>
      <c r="AB69" s="116">
        <f t="shared" si="46"/>
        <v>2.0979020979021001E-2</v>
      </c>
      <c r="AC69" s="133">
        <v>22</v>
      </c>
      <c r="AD69" s="71">
        <v>1.2670000000000001E-5</v>
      </c>
      <c r="AE69" s="71">
        <v>1.296E-5</v>
      </c>
      <c r="AF69" s="71">
        <f t="shared" si="31"/>
        <v>5.8250000000000003E-7</v>
      </c>
      <c r="AG69" s="71">
        <f t="shared" si="32"/>
        <v>6.5909090909090659E-9</v>
      </c>
      <c r="AH69" s="138">
        <f t="shared" si="35"/>
        <v>1.1314865392118567E-2</v>
      </c>
      <c r="AI69" s="162" t="s">
        <v>18</v>
      </c>
      <c r="AJ69" s="132"/>
      <c r="AK69" s="132"/>
      <c r="AL69" s="132"/>
      <c r="AM69" s="132" t="s">
        <v>54</v>
      </c>
      <c r="AN69" s="139" t="s">
        <v>86</v>
      </c>
      <c r="AO69" s="164">
        <v>40245</v>
      </c>
      <c r="AP69" s="21">
        <f t="shared" si="36"/>
        <v>0.89374999999999993</v>
      </c>
      <c r="AQ69" s="132"/>
      <c r="AR69" s="132"/>
      <c r="AS69" s="132"/>
      <c r="AT69" s="132"/>
      <c r="AU69" s="132"/>
      <c r="AV69" s="132"/>
      <c r="AW69" s="132"/>
      <c r="AX69" s="132"/>
    </row>
    <row r="70" spans="1:50" ht="15" customHeight="1">
      <c r="A70" s="23">
        <v>0.2</v>
      </c>
      <c r="B70" s="21">
        <f t="shared" si="33"/>
        <v>0.90902777777777777</v>
      </c>
      <c r="C70" s="19">
        <f t="shared" si="37"/>
        <v>727.22222222222217</v>
      </c>
      <c r="D70" s="19">
        <v>7.272222222222222E-7</v>
      </c>
      <c r="E70" s="19">
        <v>6.6666666666666966E-9</v>
      </c>
      <c r="F70" s="21">
        <f t="shared" si="34"/>
        <v>3.3333333333333483E-9</v>
      </c>
      <c r="G70" s="171">
        <f t="shared" si="43"/>
        <v>9.1673032849503844E-3</v>
      </c>
      <c r="H70" s="171">
        <f t="shared" si="14"/>
        <v>4.5836516424751922E-3</v>
      </c>
      <c r="I70" s="56">
        <v>30</v>
      </c>
      <c r="J70" s="21">
        <f t="shared" si="38"/>
        <v>800</v>
      </c>
      <c r="K70" s="31">
        <v>7.9999999999999996E-7</v>
      </c>
      <c r="L70" s="57">
        <v>1E-13</v>
      </c>
      <c r="M70" s="57">
        <f t="shared" si="39"/>
        <v>0.1</v>
      </c>
      <c r="N70" s="19" t="s">
        <v>95</v>
      </c>
      <c r="R70" s="19">
        <v>0</v>
      </c>
      <c r="S70" s="19" t="s">
        <v>13</v>
      </c>
      <c r="T70" s="21">
        <f t="shared" si="40"/>
        <v>2000000000000</v>
      </c>
      <c r="U70" s="21">
        <f t="shared" si="41"/>
        <v>60000000000000</v>
      </c>
      <c r="V70" s="32">
        <f t="shared" si="42"/>
        <v>6</v>
      </c>
      <c r="W70" s="31">
        <f t="shared" si="30"/>
        <v>0.90902777777777777</v>
      </c>
      <c r="X70" s="31">
        <v>5.7000000000000005E-7</v>
      </c>
      <c r="Y70" s="21">
        <v>7.5000000000000002E-7</v>
      </c>
      <c r="Z70" s="21">
        <f t="shared" si="44"/>
        <v>6.6000000000000003E-7</v>
      </c>
      <c r="AA70" s="21">
        <f t="shared" si="45"/>
        <v>8.9999999999999985E-8</v>
      </c>
      <c r="AB70" s="116">
        <f t="shared" si="46"/>
        <v>0.13636363636363633</v>
      </c>
      <c r="AC70" s="56">
        <v>18</v>
      </c>
      <c r="AD70" s="29">
        <v>1.2969999999999999E-5</v>
      </c>
      <c r="AE70" s="29">
        <v>1.3210000000000001E-5</v>
      </c>
      <c r="AF70" s="21">
        <f t="shared" si="31"/>
        <v>7.272222222222222E-7</v>
      </c>
      <c r="AG70" s="21">
        <f t="shared" si="32"/>
        <v>6.6666666666666966E-9</v>
      </c>
      <c r="AH70" s="22">
        <f t="shared" si="35"/>
        <v>9.1673032849503844E-3</v>
      </c>
      <c r="AI70" s="23" t="s">
        <v>14</v>
      </c>
      <c r="AM70" s="19" t="s">
        <v>54</v>
      </c>
      <c r="AN70" s="105" t="s">
        <v>86</v>
      </c>
      <c r="AO70" s="102">
        <v>40253</v>
      </c>
      <c r="AP70" s="21">
        <f t="shared" si="36"/>
        <v>0.90902777777777777</v>
      </c>
    </row>
    <row r="71" spans="1:50" ht="15" customHeight="1">
      <c r="A71" s="132">
        <v>0.313</v>
      </c>
      <c r="B71" s="21">
        <f t="shared" si="33"/>
        <v>0.86874999999999991</v>
      </c>
      <c r="C71" s="132">
        <f t="shared" si="37"/>
        <v>694.99999999999989</v>
      </c>
      <c r="D71" s="71">
        <f>Z71</f>
        <v>6.9499999999999991E-7</v>
      </c>
      <c r="E71" s="132">
        <v>9.6153846153846203E-9</v>
      </c>
      <c r="F71" s="21">
        <f t="shared" si="34"/>
        <v>4.8076923076923101E-9</v>
      </c>
      <c r="G71" s="171">
        <f t="shared" si="43"/>
        <v>1.3835085777531829E-2</v>
      </c>
      <c r="H71" s="171">
        <f t="shared" ref="H71:H75" si="47">G71/2</f>
        <v>6.9175428887659146E-3</v>
      </c>
      <c r="I71" s="133">
        <v>30</v>
      </c>
      <c r="J71" s="21">
        <f t="shared" si="38"/>
        <v>800</v>
      </c>
      <c r="K71" s="134">
        <v>7.9999999999999996E-7</v>
      </c>
      <c r="L71" s="135">
        <v>1E-13</v>
      </c>
      <c r="M71" s="135">
        <f t="shared" si="39"/>
        <v>0.1</v>
      </c>
      <c r="N71" s="132" t="s">
        <v>95</v>
      </c>
      <c r="O71" s="132"/>
      <c r="P71" s="132"/>
      <c r="Q71" s="132"/>
      <c r="R71" s="132">
        <v>0</v>
      </c>
      <c r="S71" s="132" t="s">
        <v>13</v>
      </c>
      <c r="T71" s="71">
        <f t="shared" si="40"/>
        <v>3130000000000</v>
      </c>
      <c r="U71" s="71">
        <f t="shared" si="41"/>
        <v>93900000000000</v>
      </c>
      <c r="V71" s="136">
        <f t="shared" si="42"/>
        <v>9.39</v>
      </c>
      <c r="W71" s="134">
        <f t="shared" si="30"/>
        <v>0.69086538461538471</v>
      </c>
      <c r="X71" s="134">
        <v>6.8999999999999996E-7</v>
      </c>
      <c r="Y71" s="71">
        <v>6.9999999999999997E-7</v>
      </c>
      <c r="Z71" s="21">
        <f t="shared" si="44"/>
        <v>6.9499999999999991E-7</v>
      </c>
      <c r="AA71" s="21">
        <f t="shared" si="45"/>
        <v>5.0000000000000051E-9</v>
      </c>
      <c r="AB71" s="116">
        <f t="shared" si="46"/>
        <v>7.1942446043165549E-3</v>
      </c>
      <c r="AC71" s="133">
        <v>13</v>
      </c>
      <c r="AD71" s="71">
        <v>7.0600000000000002E-6</v>
      </c>
      <c r="AE71" s="71">
        <v>7.3100000000000003E-6</v>
      </c>
      <c r="AF71" s="71">
        <f t="shared" si="31"/>
        <v>5.5269230769230773E-7</v>
      </c>
      <c r="AG71" s="71">
        <f t="shared" si="32"/>
        <v>9.6153846153846203E-9</v>
      </c>
      <c r="AH71" s="138">
        <f t="shared" si="35"/>
        <v>1.7397355601948512E-2</v>
      </c>
      <c r="AI71" s="131"/>
      <c r="AJ71" s="132"/>
      <c r="AK71" s="132"/>
      <c r="AL71" s="132"/>
      <c r="AM71" s="132" t="s">
        <v>54</v>
      </c>
      <c r="AN71" s="139" t="s">
        <v>86</v>
      </c>
      <c r="AO71" s="164">
        <v>40245</v>
      </c>
      <c r="AP71" s="21">
        <f t="shared" si="36"/>
        <v>0.86874999999999991</v>
      </c>
      <c r="AQ71" s="132"/>
      <c r="AR71" s="132"/>
      <c r="AS71" s="132"/>
      <c r="AT71" s="132"/>
      <c r="AU71" s="132"/>
      <c r="AV71" s="132"/>
      <c r="AW71" s="132"/>
      <c r="AX71" s="132"/>
    </row>
    <row r="72" spans="1:50" ht="15" customHeight="1">
      <c r="A72" s="19">
        <v>0.2</v>
      </c>
      <c r="B72" s="21">
        <f t="shared" si="33"/>
        <v>0.89050000000000007</v>
      </c>
      <c r="C72" s="19">
        <f t="shared" si="37"/>
        <v>712.40000000000009</v>
      </c>
      <c r="D72" s="19">
        <v>7.1240000000000005E-7</v>
      </c>
      <c r="E72" s="19">
        <v>4.4000000000000253E-9</v>
      </c>
      <c r="F72" s="21">
        <f t="shared" si="34"/>
        <v>2.2000000000000127E-9</v>
      </c>
      <c r="G72" s="171">
        <f t="shared" si="43"/>
        <v>6.1763054463784741E-3</v>
      </c>
      <c r="H72" s="171">
        <f t="shared" si="47"/>
        <v>3.0881527231892371E-3</v>
      </c>
      <c r="I72" s="56">
        <v>40</v>
      </c>
      <c r="J72" s="21">
        <f t="shared" si="38"/>
        <v>800</v>
      </c>
      <c r="K72" s="31">
        <v>7.9999999999999996E-7</v>
      </c>
      <c r="L72" s="57">
        <v>1E-13</v>
      </c>
      <c r="M72" s="57">
        <f t="shared" si="39"/>
        <v>0.1</v>
      </c>
      <c r="N72" s="19" t="s">
        <v>95</v>
      </c>
      <c r="R72" s="19">
        <v>0</v>
      </c>
      <c r="S72" s="19" t="s">
        <v>13</v>
      </c>
      <c r="T72" s="21">
        <f t="shared" si="40"/>
        <v>2000000000000</v>
      </c>
      <c r="U72" s="21">
        <f t="shared" si="41"/>
        <v>80000000000000</v>
      </c>
      <c r="V72" s="32">
        <f t="shared" si="42"/>
        <v>8</v>
      </c>
      <c r="W72" s="31">
        <f t="shared" si="30"/>
        <v>0.89050000000000007</v>
      </c>
      <c r="X72" s="73">
        <v>5.9999999999999997E-7</v>
      </c>
      <c r="Y72" s="29">
        <v>7.4000000000000001E-7</v>
      </c>
      <c r="Z72" s="21">
        <f t="shared" si="44"/>
        <v>6.6999999999999994E-7</v>
      </c>
      <c r="AA72" s="21">
        <f t="shared" si="45"/>
        <v>7.0000000000000018E-8</v>
      </c>
      <c r="AB72" s="116">
        <f t="shared" si="46"/>
        <v>0.10447761194029855</v>
      </c>
      <c r="AC72" s="56">
        <v>25</v>
      </c>
      <c r="AD72" s="29">
        <v>1.77E-5</v>
      </c>
      <c r="AE72" s="29">
        <v>1.7920000000000001E-5</v>
      </c>
      <c r="AF72" s="21">
        <f t="shared" si="31"/>
        <v>7.1240000000000005E-7</v>
      </c>
      <c r="AG72" s="21">
        <f t="shared" si="32"/>
        <v>4.4000000000000253E-9</v>
      </c>
      <c r="AH72" s="22">
        <f t="shared" si="35"/>
        <v>6.1763054463784741E-3</v>
      </c>
      <c r="AI72" s="23" t="s">
        <v>14</v>
      </c>
      <c r="AM72" s="19" t="s">
        <v>54</v>
      </c>
      <c r="AN72" s="105" t="s">
        <v>86</v>
      </c>
      <c r="AO72" s="102">
        <v>40253</v>
      </c>
      <c r="AP72" s="21">
        <f t="shared" si="36"/>
        <v>0.89050000000000007</v>
      </c>
    </row>
    <row r="73" spans="1:50" ht="15" customHeight="1">
      <c r="A73" s="19">
        <v>0.2</v>
      </c>
      <c r="B73" s="21">
        <f t="shared" si="33"/>
        <v>0.84375</v>
      </c>
      <c r="C73" s="19">
        <f t="shared" si="37"/>
        <v>675</v>
      </c>
      <c r="D73" s="19">
        <v>6.75E-7</v>
      </c>
      <c r="E73" s="19">
        <v>7.5000000000000023E-8</v>
      </c>
      <c r="F73" s="21">
        <f t="shared" si="34"/>
        <v>3.7500000000000012E-8</v>
      </c>
      <c r="G73" s="171">
        <f t="shared" si="43"/>
        <v>0.11111111111111115</v>
      </c>
      <c r="H73" s="171">
        <f t="shared" si="47"/>
        <v>5.5555555555555573E-2</v>
      </c>
      <c r="I73" s="56">
        <v>50</v>
      </c>
      <c r="J73" s="21">
        <f t="shared" si="38"/>
        <v>800</v>
      </c>
      <c r="K73" s="31">
        <v>7.9999999999999996E-7</v>
      </c>
      <c r="L73" s="57">
        <v>1E-13</v>
      </c>
      <c r="M73" s="57">
        <f t="shared" si="39"/>
        <v>0.1</v>
      </c>
      <c r="N73" s="19" t="s">
        <v>95</v>
      </c>
      <c r="R73" s="19">
        <v>0</v>
      </c>
      <c r="S73" s="19" t="s">
        <v>13</v>
      </c>
      <c r="T73" s="21">
        <f t="shared" si="40"/>
        <v>2000000000000</v>
      </c>
      <c r="U73" s="21">
        <f t="shared" si="41"/>
        <v>100000000000000</v>
      </c>
      <c r="V73" s="32">
        <f t="shared" si="42"/>
        <v>10</v>
      </c>
      <c r="W73" s="31">
        <f>Z73/K73</f>
        <v>0.84375</v>
      </c>
      <c r="X73" s="73">
        <v>5.9999999999999997E-7</v>
      </c>
      <c r="Y73" s="29">
        <v>7.5000000000000002E-7</v>
      </c>
      <c r="Z73" s="21">
        <f t="shared" si="44"/>
        <v>6.75E-7</v>
      </c>
      <c r="AA73" s="21">
        <f t="shared" si="45"/>
        <v>7.5000000000000023E-8</v>
      </c>
      <c r="AB73" s="116">
        <f t="shared" si="46"/>
        <v>0.11111111111111115</v>
      </c>
      <c r="AC73" s="56"/>
      <c r="AF73" s="21">
        <v>6.75E-7</v>
      </c>
      <c r="AG73" s="21">
        <v>7.5000000000000023E-8</v>
      </c>
      <c r="AH73" s="22">
        <v>0.11111111111111115</v>
      </c>
      <c r="AI73" s="23"/>
      <c r="AM73" s="19" t="s">
        <v>54</v>
      </c>
      <c r="AN73" s="105" t="s">
        <v>86</v>
      </c>
      <c r="AO73" s="102">
        <v>40253</v>
      </c>
      <c r="AP73" s="21">
        <f t="shared" si="36"/>
        <v>0.84375</v>
      </c>
    </row>
    <row r="74" spans="1:50" ht="15" customHeight="1">
      <c r="A74" s="132">
        <v>0.313</v>
      </c>
      <c r="B74" s="21">
        <f t="shared" si="33"/>
        <v>0.69062500000000004</v>
      </c>
      <c r="C74" s="132">
        <f t="shared" si="37"/>
        <v>552.5</v>
      </c>
      <c r="D74" s="132">
        <v>5.525E-7</v>
      </c>
      <c r="E74" s="132">
        <v>9.6428571428571108E-9</v>
      </c>
      <c r="F74" s="21">
        <f t="shared" si="34"/>
        <v>4.8214285714285554E-9</v>
      </c>
      <c r="G74" s="171">
        <f t="shared" si="43"/>
        <v>1.7453135100193865E-2</v>
      </c>
      <c r="H74" s="171">
        <f t="shared" si="47"/>
        <v>8.7265675500969326E-3</v>
      </c>
      <c r="I74" s="133">
        <v>50</v>
      </c>
      <c r="J74" s="21">
        <f t="shared" si="38"/>
        <v>800</v>
      </c>
      <c r="K74" s="134">
        <v>7.9999999999999996E-7</v>
      </c>
      <c r="L74" s="135">
        <v>1E-13</v>
      </c>
      <c r="M74" s="135">
        <f t="shared" si="39"/>
        <v>0.1</v>
      </c>
      <c r="N74" s="132" t="s">
        <v>95</v>
      </c>
      <c r="O74" s="132"/>
      <c r="P74" s="132"/>
      <c r="Q74" s="132"/>
      <c r="R74" s="132">
        <v>0</v>
      </c>
      <c r="S74" s="132" t="s">
        <v>13</v>
      </c>
      <c r="T74" s="71">
        <f t="shared" si="40"/>
        <v>3130000000000</v>
      </c>
      <c r="U74" s="71">
        <f t="shared" si="41"/>
        <v>156500000000000</v>
      </c>
      <c r="V74" s="136">
        <f t="shared" si="42"/>
        <v>15.65</v>
      </c>
      <c r="W74" s="134">
        <f>AF74/K74</f>
        <v>0.69062500000000004</v>
      </c>
      <c r="X74" s="131"/>
      <c r="Y74" s="132"/>
      <c r="Z74" s="132"/>
      <c r="AA74" s="132"/>
      <c r="AB74" s="137"/>
      <c r="AC74" s="133">
        <v>14</v>
      </c>
      <c r="AD74" s="71">
        <v>7.6000000000000001E-6</v>
      </c>
      <c r="AE74" s="71">
        <v>7.8699999999999992E-6</v>
      </c>
      <c r="AF74" s="71">
        <f>(AE74+AD74)/(2*AC74)</f>
        <v>5.525E-7</v>
      </c>
      <c r="AG74" s="71">
        <f>(AE74-AD74)/(2*AC74)</f>
        <v>9.6428571428571108E-9</v>
      </c>
      <c r="AH74" s="138">
        <f>AG74/AF74</f>
        <v>1.7453135100193865E-2</v>
      </c>
      <c r="AI74" s="131"/>
      <c r="AJ74" s="132"/>
      <c r="AK74" s="132"/>
      <c r="AL74" s="132"/>
      <c r="AM74" s="132" t="s">
        <v>54</v>
      </c>
      <c r="AN74" s="139" t="s">
        <v>86</v>
      </c>
      <c r="AO74" s="164">
        <v>40245</v>
      </c>
      <c r="AP74" s="21">
        <f t="shared" si="36"/>
        <v>0.69062500000000004</v>
      </c>
      <c r="AQ74" s="132"/>
      <c r="AR74" s="132"/>
      <c r="AS74" s="132"/>
      <c r="AT74" s="132"/>
      <c r="AU74" s="132"/>
      <c r="AV74" s="132"/>
      <c r="AW74" s="132"/>
      <c r="AX74" s="132"/>
    </row>
    <row r="75" spans="1:50">
      <c r="A75" s="19">
        <v>0.5</v>
      </c>
      <c r="B75" s="21">
        <f t="shared" si="33"/>
        <v>0.87424999999999997</v>
      </c>
      <c r="C75" s="19">
        <f t="shared" si="37"/>
        <v>699.4</v>
      </c>
      <c r="D75" s="19">
        <v>6.9940000000000003E-7</v>
      </c>
      <c r="E75" s="19">
        <v>1.2199999999999985E-8</v>
      </c>
      <c r="F75" s="21">
        <f t="shared" si="34"/>
        <v>6.0999999999999926E-9</v>
      </c>
      <c r="G75" s="171">
        <f t="shared" si="43"/>
        <v>1.7443523019731177E-2</v>
      </c>
      <c r="H75" s="171">
        <f t="shared" si="47"/>
        <v>8.7217615098655887E-3</v>
      </c>
      <c r="I75" s="19">
        <v>50</v>
      </c>
      <c r="J75" s="21">
        <f t="shared" si="38"/>
        <v>800</v>
      </c>
      <c r="K75" s="31">
        <v>7.9999999999999996E-7</v>
      </c>
      <c r="L75" s="57">
        <v>1E-13</v>
      </c>
      <c r="M75" s="56">
        <f t="shared" si="39"/>
        <v>0.1</v>
      </c>
      <c r="N75" s="19" t="s">
        <v>95</v>
      </c>
      <c r="R75" s="19">
        <v>0</v>
      </c>
      <c r="S75" s="19" t="s">
        <v>13</v>
      </c>
      <c r="T75" s="19">
        <f t="shared" si="40"/>
        <v>5000000000000</v>
      </c>
      <c r="U75" s="19">
        <f t="shared" si="41"/>
        <v>250000000000000</v>
      </c>
      <c r="V75" s="23">
        <f t="shared" si="42"/>
        <v>25</v>
      </c>
      <c r="W75" s="31">
        <f>AF75/K75</f>
        <v>0.87425000000000008</v>
      </c>
      <c r="AC75" s="19">
        <v>25</v>
      </c>
      <c r="AD75" s="29">
        <v>1.7180000000000002E-5</v>
      </c>
      <c r="AE75" s="29">
        <v>1.7790000000000001E-5</v>
      </c>
      <c r="AF75" s="21">
        <f>(AE75+AD75)/(2*AC75)</f>
        <v>6.9940000000000003E-7</v>
      </c>
      <c r="AG75" s="21">
        <f>(AE75-AD75)/(2*AC75)</f>
        <v>1.2199999999999985E-8</v>
      </c>
      <c r="AH75" s="22">
        <f>AG75/AF75</f>
        <v>1.7443523019731177E-2</v>
      </c>
      <c r="AI75" s="19" t="s">
        <v>103</v>
      </c>
      <c r="AM75" s="19" t="s">
        <v>54</v>
      </c>
      <c r="AN75" s="105" t="s">
        <v>86</v>
      </c>
      <c r="AP75" s="21">
        <f t="shared" si="36"/>
        <v>0.87425000000000008</v>
      </c>
    </row>
    <row r="76" spans="1:50">
      <c r="A76" s="19">
        <v>0.247</v>
      </c>
      <c r="B76" s="21">
        <f t="shared" si="33"/>
        <v>0.75192307692307692</v>
      </c>
      <c r="C76" s="19">
        <f t="shared" si="37"/>
        <v>601.53846153846155</v>
      </c>
      <c r="D76" s="19">
        <v>6.0153846153846155E-7</v>
      </c>
      <c r="E76" s="19">
        <v>1.2307692307692319E-8</v>
      </c>
      <c r="G76" s="171">
        <f t="shared" si="43"/>
        <v>2.0460358056266004E-2</v>
      </c>
      <c r="H76" s="171"/>
      <c r="I76" s="19">
        <v>85</v>
      </c>
      <c r="J76" s="21">
        <f t="shared" si="38"/>
        <v>800</v>
      </c>
      <c r="K76" s="31">
        <v>7.9999999999999996E-7</v>
      </c>
      <c r="L76" s="57">
        <v>1E-13</v>
      </c>
      <c r="M76" s="57">
        <f t="shared" si="39"/>
        <v>0.1</v>
      </c>
      <c r="N76" s="19" t="s">
        <v>89</v>
      </c>
      <c r="R76" s="19">
        <v>0</v>
      </c>
      <c r="S76" s="19" t="s">
        <v>13</v>
      </c>
      <c r="T76" s="21">
        <f t="shared" si="40"/>
        <v>2470000000000</v>
      </c>
      <c r="U76" s="21">
        <f t="shared" si="41"/>
        <v>209950000000000</v>
      </c>
      <c r="V76" s="23">
        <f t="shared" si="42"/>
        <v>20.995000000000001</v>
      </c>
      <c r="W76" s="31">
        <f>AF76/K76</f>
        <v>0.75192307692307692</v>
      </c>
      <c r="AC76" s="19">
        <v>13</v>
      </c>
      <c r="AD76" s="29">
        <v>7.6599999999999995E-6</v>
      </c>
      <c r="AE76" s="29">
        <v>7.9799999999999998E-6</v>
      </c>
      <c r="AF76" s="21">
        <f>(AE76+AD76)/(2*AC76)</f>
        <v>6.0153846153846155E-7</v>
      </c>
      <c r="AG76" s="21">
        <f>(AE76-AD76)/(2*AC76)</f>
        <v>1.2307692307692319E-8</v>
      </c>
      <c r="AH76" s="22">
        <f>AG76/AF76</f>
        <v>2.0460358056266004E-2</v>
      </c>
      <c r="AI76" s="19" t="s">
        <v>105</v>
      </c>
      <c r="AM76" s="19" t="s">
        <v>107</v>
      </c>
      <c r="AO76" s="102">
        <v>40374</v>
      </c>
      <c r="AP76" s="21">
        <f t="shared" si="36"/>
        <v>0.75192307692307692</v>
      </c>
    </row>
    <row r="77" spans="1:50">
      <c r="A77" s="19">
        <v>0.2</v>
      </c>
      <c r="B77" s="21">
        <f t="shared" si="33"/>
        <v>0.83125000000000004</v>
      </c>
      <c r="C77" s="19">
        <f t="shared" si="37"/>
        <v>665</v>
      </c>
      <c r="D77" s="19">
        <v>6.6499999999999999E-7</v>
      </c>
      <c r="E77" s="19">
        <v>7.5000000000000023E-8</v>
      </c>
      <c r="F77" s="21">
        <f t="shared" ref="F77:F78" si="48">E77/2</f>
        <v>3.7500000000000012E-8</v>
      </c>
      <c r="G77" s="171">
        <f t="shared" si="43"/>
        <v>0.11278195488721808</v>
      </c>
      <c r="H77" s="171">
        <f t="shared" ref="H77:H78" si="49">G77/2</f>
        <v>5.639097744360904E-2</v>
      </c>
      <c r="I77" s="56">
        <v>100</v>
      </c>
      <c r="J77" s="21">
        <f t="shared" si="38"/>
        <v>800</v>
      </c>
      <c r="K77" s="31">
        <v>7.9999999999999996E-7</v>
      </c>
      <c r="L77" s="57">
        <v>1E-13</v>
      </c>
      <c r="M77" s="57">
        <f t="shared" si="39"/>
        <v>0.1</v>
      </c>
      <c r="N77" s="19" t="s">
        <v>95</v>
      </c>
      <c r="T77" s="21">
        <f t="shared" si="40"/>
        <v>2000000000000</v>
      </c>
      <c r="U77" s="21">
        <f t="shared" si="41"/>
        <v>200000000000000</v>
      </c>
      <c r="V77" s="32">
        <f t="shared" si="42"/>
        <v>20</v>
      </c>
      <c r="W77" s="31">
        <f>Z77/K77</f>
        <v>0.83125000000000004</v>
      </c>
      <c r="X77" s="73">
        <v>5.8999999999999996E-7</v>
      </c>
      <c r="Y77" s="29">
        <v>7.4000000000000001E-7</v>
      </c>
      <c r="Z77" s="21">
        <f>(X77+Y77)/2</f>
        <v>6.6499999999999999E-7</v>
      </c>
      <c r="AA77" s="21">
        <f>(Y77-X77)/2</f>
        <v>7.5000000000000023E-8</v>
      </c>
      <c r="AB77" s="116">
        <f>AA77/Z77</f>
        <v>0.11278195488721808</v>
      </c>
      <c r="AC77" s="56"/>
      <c r="AF77" s="21">
        <v>6.6499999999999999E-7</v>
      </c>
      <c r="AG77" s="21">
        <v>7.5000000000000023E-8</v>
      </c>
      <c r="AH77" s="22">
        <v>0.11278195488721808</v>
      </c>
      <c r="AI77" s="23"/>
      <c r="AM77" s="19" t="s">
        <v>54</v>
      </c>
      <c r="AN77" s="105" t="s">
        <v>86</v>
      </c>
      <c r="AO77" s="102">
        <v>40245</v>
      </c>
      <c r="AP77" s="21">
        <f t="shared" si="36"/>
        <v>0.83125000000000004</v>
      </c>
    </row>
    <row r="78" spans="1:50">
      <c r="A78" s="132">
        <v>0.313</v>
      </c>
      <c r="B78" s="21">
        <f t="shared" si="33"/>
        <v>0.68515624999999991</v>
      </c>
      <c r="C78" s="132">
        <f t="shared" si="37"/>
        <v>548.12499999999989</v>
      </c>
      <c r="D78" s="132">
        <v>5.4812499999999994E-7</v>
      </c>
      <c r="E78" s="132">
        <v>2.4375000000000031E-8</v>
      </c>
      <c r="F78" s="21">
        <f t="shared" si="48"/>
        <v>1.2187500000000016E-8</v>
      </c>
      <c r="G78" s="171">
        <f t="shared" si="43"/>
        <v>4.4469783352337575E-2</v>
      </c>
      <c r="H78" s="171">
        <f t="shared" si="49"/>
        <v>2.2234891676168787E-2</v>
      </c>
      <c r="I78" s="133">
        <v>100</v>
      </c>
      <c r="J78" s="21">
        <f t="shared" si="38"/>
        <v>800</v>
      </c>
      <c r="K78" s="134">
        <v>7.9999999999999996E-7</v>
      </c>
      <c r="L78" s="135">
        <v>1E-13</v>
      </c>
      <c r="M78" s="135">
        <f t="shared" si="39"/>
        <v>0.1</v>
      </c>
      <c r="N78" s="132" t="s">
        <v>95</v>
      </c>
      <c r="O78" s="132"/>
      <c r="P78" s="132"/>
      <c r="Q78" s="132"/>
      <c r="R78" s="132">
        <v>0</v>
      </c>
      <c r="S78" s="132" t="s">
        <v>13</v>
      </c>
      <c r="T78" s="71">
        <f t="shared" si="40"/>
        <v>3130000000000</v>
      </c>
      <c r="U78" s="71">
        <f t="shared" si="41"/>
        <v>313000000000000</v>
      </c>
      <c r="V78" s="136">
        <f t="shared" si="42"/>
        <v>31.3</v>
      </c>
      <c r="W78" s="134">
        <f>AF78/K78</f>
        <v>0.68515624999999991</v>
      </c>
      <c r="X78" s="131"/>
      <c r="Y78" s="132"/>
      <c r="Z78" s="132"/>
      <c r="AA78" s="132"/>
      <c r="AB78" s="137"/>
      <c r="AC78" s="133">
        <v>8</v>
      </c>
      <c r="AD78" s="71">
        <v>4.1899999999999997E-6</v>
      </c>
      <c r="AE78" s="71">
        <v>4.5800000000000002E-6</v>
      </c>
      <c r="AF78" s="71">
        <f>(AE78+AD78)/(2*AC78)</f>
        <v>5.4812499999999994E-7</v>
      </c>
      <c r="AG78" s="71">
        <f>(AE78-AD78)/(2*AC78)</f>
        <v>2.4375000000000031E-8</v>
      </c>
      <c r="AH78" s="138">
        <f>AG78/AF78</f>
        <v>4.4469783352337575E-2</v>
      </c>
      <c r="AI78" s="131"/>
      <c r="AJ78" s="132"/>
      <c r="AK78" s="132"/>
      <c r="AL78" s="132"/>
      <c r="AM78" s="132" t="s">
        <v>54</v>
      </c>
      <c r="AN78" s="139" t="s">
        <v>86</v>
      </c>
      <c r="AO78" s="164">
        <v>40245</v>
      </c>
      <c r="AP78" s="21">
        <f t="shared" si="36"/>
        <v>0.68515624999999991</v>
      </c>
      <c r="AQ78" s="132"/>
      <c r="AR78" s="132"/>
      <c r="AS78" s="132"/>
      <c r="AT78" s="132"/>
      <c r="AU78" s="132"/>
      <c r="AV78" s="132"/>
      <c r="AW78" s="132"/>
      <c r="AX78" s="132"/>
    </row>
    <row r="79" spans="1:50">
      <c r="A79" s="19">
        <v>0.155</v>
      </c>
      <c r="B79" s="21">
        <f t="shared" si="33"/>
        <v>0.71843750000000017</v>
      </c>
      <c r="C79" s="19">
        <f t="shared" si="37"/>
        <v>574.75000000000011</v>
      </c>
      <c r="D79" s="19">
        <v>5.7475000000000009E-7</v>
      </c>
      <c r="E79" s="19">
        <v>7.7500000000000098E-9</v>
      </c>
      <c r="G79" s="171">
        <f t="shared" si="43"/>
        <v>1.3484123531970437E-2</v>
      </c>
      <c r="H79" s="171"/>
      <c r="I79" s="19">
        <v>150</v>
      </c>
      <c r="J79" s="21">
        <f t="shared" si="38"/>
        <v>800</v>
      </c>
      <c r="K79" s="31">
        <v>7.9999999999999996E-7</v>
      </c>
      <c r="L79" s="21">
        <v>1E-13</v>
      </c>
      <c r="M79" s="57">
        <f t="shared" si="39"/>
        <v>0.1</v>
      </c>
      <c r="N79" s="19" t="s">
        <v>89</v>
      </c>
      <c r="R79" s="19">
        <v>0</v>
      </c>
      <c r="S79" s="19" t="s">
        <v>13</v>
      </c>
      <c r="T79" s="19">
        <f t="shared" si="40"/>
        <v>1550000000000</v>
      </c>
      <c r="U79" s="19">
        <f t="shared" si="41"/>
        <v>232500000000000</v>
      </c>
      <c r="V79" s="23">
        <f t="shared" si="42"/>
        <v>23.25</v>
      </c>
      <c r="W79" s="31">
        <f>AF79/K79</f>
        <v>0.71843750000000017</v>
      </c>
      <c r="AC79" s="19">
        <v>20</v>
      </c>
      <c r="AD79" s="29">
        <v>1.134E-5</v>
      </c>
      <c r="AE79" s="29">
        <v>1.165E-5</v>
      </c>
      <c r="AF79" s="21">
        <f>(AE79+AD79)/(2*AC79)</f>
        <v>5.7475000000000009E-7</v>
      </c>
      <c r="AG79" s="21">
        <f>(AE79-AD79)/(2*AC79)</f>
        <v>7.7500000000000098E-9</v>
      </c>
      <c r="AH79" s="22">
        <f>AG79/AF79</f>
        <v>1.3484123531970437E-2</v>
      </c>
      <c r="AI79" s="23" t="s">
        <v>105</v>
      </c>
      <c r="AM79" s="19" t="s">
        <v>107</v>
      </c>
      <c r="AO79" s="102">
        <v>40374</v>
      </c>
      <c r="AP79" s="21">
        <f t="shared" si="36"/>
        <v>0.71843750000000017</v>
      </c>
    </row>
    <row r="80" spans="1:50">
      <c r="A80" s="19">
        <v>0.2</v>
      </c>
      <c r="B80" s="21">
        <f t="shared" si="33"/>
        <v>0.86874999999999991</v>
      </c>
      <c r="C80" s="21">
        <f>1000000000*D80</f>
        <v>694.99999999999989</v>
      </c>
      <c r="D80" s="21">
        <f>Z80</f>
        <v>6.9499999999999991E-7</v>
      </c>
      <c r="E80" s="21">
        <f>AA80</f>
        <v>1.5000000000000015E-8</v>
      </c>
      <c r="F80" s="21">
        <f t="shared" ref="F80:F82" si="50">E80/2</f>
        <v>7.5000000000000076E-9</v>
      </c>
      <c r="G80" s="171">
        <f t="shared" si="43"/>
        <v>2.1582733812949666E-2</v>
      </c>
      <c r="H80" s="171">
        <f t="shared" ref="H80:H82" si="51">G80/2</f>
        <v>1.0791366906474833E-2</v>
      </c>
      <c r="I80" s="56">
        <v>1000</v>
      </c>
      <c r="J80" s="21">
        <f t="shared" si="38"/>
        <v>800</v>
      </c>
      <c r="K80" s="31">
        <v>7.9999999999999996E-7</v>
      </c>
      <c r="L80" s="57">
        <v>1E-13</v>
      </c>
      <c r="M80" s="57">
        <f t="shared" si="39"/>
        <v>0.1</v>
      </c>
      <c r="N80" s="19" t="s">
        <v>95</v>
      </c>
      <c r="T80" s="21">
        <f t="shared" si="40"/>
        <v>2000000000000</v>
      </c>
      <c r="U80" s="21">
        <f t="shared" si="41"/>
        <v>2000000000000000</v>
      </c>
      <c r="V80" s="32">
        <f t="shared" si="42"/>
        <v>200</v>
      </c>
      <c r="W80" s="31">
        <f>Z80/K80</f>
        <v>0.86874999999999991</v>
      </c>
      <c r="X80" s="73">
        <v>6.7999999999999995E-7</v>
      </c>
      <c r="Y80" s="29">
        <v>7.0999999999999998E-7</v>
      </c>
      <c r="Z80" s="21">
        <f>(X80+Y80)/2</f>
        <v>6.9499999999999991E-7</v>
      </c>
      <c r="AA80" s="21">
        <f>(Y80-X80)/2</f>
        <v>1.5000000000000015E-8</v>
      </c>
      <c r="AB80" s="116">
        <f>AA80/Z80</f>
        <v>2.1582733812949666E-2</v>
      </c>
      <c r="AC80" s="56"/>
      <c r="AF80" s="21">
        <v>6.8000000000000005E-7</v>
      </c>
      <c r="AG80" s="21">
        <v>1.6E-7</v>
      </c>
      <c r="AH80" s="22">
        <v>0.23529411764705882</v>
      </c>
      <c r="AI80" s="23"/>
      <c r="AM80" s="19" t="s">
        <v>54</v>
      </c>
      <c r="AN80" s="105" t="s">
        <v>86</v>
      </c>
      <c r="AO80" s="102">
        <v>40245</v>
      </c>
      <c r="AP80" s="21">
        <f t="shared" si="36"/>
        <v>0.86874999999999991</v>
      </c>
    </row>
    <row r="81" spans="1:42" ht="15" customHeight="1">
      <c r="A81" s="19">
        <v>2.2000000000000002</v>
      </c>
      <c r="B81" s="21">
        <f t="shared" si="33"/>
        <v>0.5346153846153846</v>
      </c>
      <c r="C81" s="19">
        <f t="shared" si="37"/>
        <v>695</v>
      </c>
      <c r="D81" s="21">
        <v>6.9500000000000002E-7</v>
      </c>
      <c r="E81" s="21">
        <v>1.3000000000000003E-7</v>
      </c>
      <c r="F81" s="21">
        <f t="shared" si="50"/>
        <v>6.5000000000000013E-8</v>
      </c>
      <c r="G81" s="171">
        <f t="shared" si="43"/>
        <v>0.18705035971223025</v>
      </c>
      <c r="H81" s="171">
        <f t="shared" si="51"/>
        <v>9.3525179856115123E-2</v>
      </c>
      <c r="I81" s="19">
        <v>20</v>
      </c>
      <c r="J81" s="21">
        <f t="shared" si="38"/>
        <v>1300</v>
      </c>
      <c r="K81" s="21">
        <v>1.3E-6</v>
      </c>
      <c r="L81" s="21">
        <v>1.4999999999999999E-13</v>
      </c>
      <c r="M81" s="57">
        <f t="shared" si="39"/>
        <v>0.15</v>
      </c>
      <c r="N81" s="19" t="s">
        <v>89</v>
      </c>
      <c r="O81" s="19" t="s">
        <v>142</v>
      </c>
      <c r="P81" s="21">
        <v>1.5E-6</v>
      </c>
      <c r="Q81" s="128">
        <f>P81*1000000</f>
        <v>1.5</v>
      </c>
      <c r="R81" s="19">
        <v>0</v>
      </c>
      <c r="S81" s="19" t="s">
        <v>13</v>
      </c>
      <c r="T81" s="21">
        <f t="shared" si="40"/>
        <v>14666666666666.668</v>
      </c>
      <c r="U81" s="21">
        <f t="shared" si="41"/>
        <v>293333333333333.37</v>
      </c>
      <c r="V81" s="32">
        <f t="shared" si="42"/>
        <v>44</v>
      </c>
      <c r="W81" s="23">
        <f>AF81/K81</f>
        <v>0.5346153846153846</v>
      </c>
      <c r="AC81" s="19">
        <v>2</v>
      </c>
      <c r="AD81" s="29">
        <v>1.13E-6</v>
      </c>
      <c r="AE81" s="29">
        <v>1.6500000000000001E-6</v>
      </c>
      <c r="AF81" s="21">
        <f>(AE81+AD81)/(2*AC81)</f>
        <v>6.9500000000000002E-7</v>
      </c>
      <c r="AG81" s="21">
        <f>(AE81-AD81)/(2*AC81)</f>
        <v>1.3000000000000003E-7</v>
      </c>
      <c r="AH81" s="22">
        <f>AG81/AF81</f>
        <v>0.18705035971223025</v>
      </c>
      <c r="AJ81" s="19" t="s">
        <v>150</v>
      </c>
      <c r="AM81" s="19" t="s">
        <v>54</v>
      </c>
      <c r="AN81" s="19">
        <v>100</v>
      </c>
      <c r="AO81" s="102">
        <v>40487</v>
      </c>
      <c r="AP81" s="21">
        <f t="shared" si="36"/>
        <v>0.5346153846153846</v>
      </c>
    </row>
    <row r="82" spans="1:42" ht="15" customHeight="1">
      <c r="A82" s="19">
        <v>2.2000000000000002</v>
      </c>
      <c r="B82" s="21">
        <f t="shared" si="33"/>
        <v>0.63461538461538458</v>
      </c>
      <c r="C82" s="19">
        <f t="shared" si="37"/>
        <v>824.99999999999989</v>
      </c>
      <c r="D82" s="21">
        <v>8.2499999999999994E-7</v>
      </c>
      <c r="E82" s="21">
        <v>1.3499999999999998E-7</v>
      </c>
      <c r="F82" s="21">
        <f t="shared" si="50"/>
        <v>6.7499999999999989E-8</v>
      </c>
      <c r="G82" s="171">
        <f t="shared" si="43"/>
        <v>0.16363636363636364</v>
      </c>
      <c r="H82" s="171">
        <f t="shared" si="51"/>
        <v>8.1818181818181818E-2</v>
      </c>
      <c r="I82" s="19">
        <v>20</v>
      </c>
      <c r="J82" s="21">
        <f t="shared" si="38"/>
        <v>1300</v>
      </c>
      <c r="K82" s="21">
        <v>1.3E-6</v>
      </c>
      <c r="L82" s="21">
        <v>1.4999999999999999E-13</v>
      </c>
      <c r="M82" s="57">
        <f t="shared" si="39"/>
        <v>0.15</v>
      </c>
      <c r="N82" s="19" t="s">
        <v>89</v>
      </c>
      <c r="O82" s="19" t="s">
        <v>142</v>
      </c>
      <c r="P82" s="21">
        <v>1.5E-6</v>
      </c>
      <c r="Q82" s="128">
        <f>P82*1000000</f>
        <v>1.5</v>
      </c>
      <c r="R82" s="19">
        <v>0</v>
      </c>
      <c r="S82" s="19" t="s">
        <v>13</v>
      </c>
      <c r="T82" s="21">
        <f t="shared" si="40"/>
        <v>14666666666666.668</v>
      </c>
      <c r="U82" s="21">
        <f t="shared" si="41"/>
        <v>293333333333333.37</v>
      </c>
      <c r="V82" s="32">
        <f t="shared" si="42"/>
        <v>44</v>
      </c>
      <c r="W82" s="23">
        <f>AF82/K82</f>
        <v>0.63461538461538458</v>
      </c>
      <c r="AC82" s="19">
        <v>2</v>
      </c>
      <c r="AD82" s="29">
        <v>1.3799999999999999E-6</v>
      </c>
      <c r="AE82" s="29">
        <v>1.9199999999999998E-6</v>
      </c>
      <c r="AF82" s="21">
        <f>(AE82+AD82)/(2*AC82)</f>
        <v>8.2499999999999994E-7</v>
      </c>
      <c r="AG82" s="21">
        <f>(AE82-AD82)/(2*AC82)</f>
        <v>1.3499999999999998E-7</v>
      </c>
      <c r="AH82" s="22">
        <f>AG82/AF82</f>
        <v>0.16363636363636364</v>
      </c>
      <c r="AJ82" s="19" t="s">
        <v>150</v>
      </c>
      <c r="AM82" s="19" t="s">
        <v>54</v>
      </c>
      <c r="AN82" s="19">
        <v>100</v>
      </c>
      <c r="AO82" s="102">
        <v>40487</v>
      </c>
      <c r="AP82" s="21">
        <f t="shared" si="36"/>
        <v>0.63461538461538458</v>
      </c>
    </row>
    <row r="83" spans="1:42" ht="15" customHeight="1">
      <c r="A83" s="19">
        <v>0.1</v>
      </c>
      <c r="B83" s="21">
        <f t="shared" si="33"/>
        <v>0.77500000000000002</v>
      </c>
      <c r="C83" s="19">
        <f t="shared" si="37"/>
        <v>620</v>
      </c>
      <c r="D83" s="21">
        <f t="shared" ref="D83:E89" si="52">Z83</f>
        <v>6.1999999999999999E-7</v>
      </c>
      <c r="E83" s="21">
        <f t="shared" si="52"/>
        <v>1.000000000000001E-8</v>
      </c>
      <c r="F83" s="21"/>
      <c r="G83" s="171">
        <f t="shared" si="43"/>
        <v>1.6129032258064533E-2</v>
      </c>
      <c r="H83" s="171"/>
      <c r="I83" s="19">
        <v>200</v>
      </c>
      <c r="J83" s="19">
        <f t="shared" ref="J83:J89" si="53">K83*1000000000</f>
        <v>800</v>
      </c>
      <c r="K83" s="21">
        <v>7.9999999999999996E-7</v>
      </c>
      <c r="L83" s="21">
        <v>1E-13</v>
      </c>
      <c r="M83" s="19">
        <f t="shared" si="39"/>
        <v>0.1</v>
      </c>
      <c r="N83" s="19" t="s">
        <v>89</v>
      </c>
      <c r="O83" s="19" t="s">
        <v>145</v>
      </c>
      <c r="P83" s="21">
        <v>3.1000000000000001E-5</v>
      </c>
      <c r="Q83" s="19">
        <v>31</v>
      </c>
      <c r="R83" s="19">
        <v>0</v>
      </c>
      <c r="S83" s="19" t="s">
        <v>13</v>
      </c>
      <c r="T83" s="19">
        <f t="shared" si="40"/>
        <v>1000000000000</v>
      </c>
      <c r="U83" s="19">
        <f t="shared" si="41"/>
        <v>200000000000000</v>
      </c>
      <c r="V83" s="23">
        <f t="shared" si="42"/>
        <v>20</v>
      </c>
      <c r="W83" s="31">
        <f>Z83/K83</f>
        <v>0.77500000000000002</v>
      </c>
      <c r="X83" s="73">
        <v>6.0999999999999998E-7</v>
      </c>
      <c r="Y83" s="29">
        <v>6.3E-7</v>
      </c>
      <c r="Z83" s="21">
        <f t="shared" ref="Z83:Z89" si="54">(X83+Y83)/2</f>
        <v>6.1999999999999999E-7</v>
      </c>
      <c r="AA83" s="21">
        <f t="shared" ref="AA83:AA89" si="55">(Y83-X83)/2</f>
        <v>1.000000000000001E-8</v>
      </c>
      <c r="AB83" s="116">
        <f t="shared" ref="AB83:AB89" si="56">AA83/Z83</f>
        <v>1.6129032258064533E-2</v>
      </c>
      <c r="AI83" s="19" t="s">
        <v>223</v>
      </c>
    </row>
    <row r="84" spans="1:42" ht="15" customHeight="1">
      <c r="A84" s="19">
        <v>0.1</v>
      </c>
      <c r="B84" s="21">
        <f t="shared" si="33"/>
        <v>0.77500000000000002</v>
      </c>
      <c r="C84" s="19">
        <f t="shared" si="37"/>
        <v>620</v>
      </c>
      <c r="D84" s="21">
        <f t="shared" si="52"/>
        <v>6.1999999999999999E-7</v>
      </c>
      <c r="E84" s="21">
        <f t="shared" si="52"/>
        <v>4.9999999999999998E-8</v>
      </c>
      <c r="F84" s="21"/>
      <c r="G84" s="171">
        <f t="shared" ref="G84" si="57">E84/D84</f>
        <v>8.0645161290322578E-2</v>
      </c>
      <c r="H84" s="171"/>
      <c r="I84" s="19">
        <v>400</v>
      </c>
      <c r="J84" s="19">
        <f t="shared" si="53"/>
        <v>800</v>
      </c>
      <c r="K84" s="21">
        <v>7.9999999999999996E-7</v>
      </c>
      <c r="L84" s="21">
        <v>1E-13</v>
      </c>
      <c r="M84" s="19">
        <f t="shared" ref="M84" si="58">L84*1000000000000</f>
        <v>0.1</v>
      </c>
      <c r="N84" s="19" t="s">
        <v>89</v>
      </c>
      <c r="O84" s="19" t="s">
        <v>145</v>
      </c>
      <c r="P84" s="21">
        <v>3.1999999999999999E-5</v>
      </c>
      <c r="Q84" s="19">
        <v>32</v>
      </c>
      <c r="R84" s="19">
        <v>0</v>
      </c>
      <c r="S84" s="19" t="s">
        <v>13</v>
      </c>
      <c r="T84" s="19">
        <f t="shared" si="40"/>
        <v>1000000000000</v>
      </c>
      <c r="U84" s="19">
        <f t="shared" ref="U84" si="59">I84*T84</f>
        <v>400000000000000</v>
      </c>
      <c r="V84" s="23">
        <f t="shared" si="42"/>
        <v>40</v>
      </c>
      <c r="W84" s="31">
        <f>Z84/K84</f>
        <v>0.77500000000000002</v>
      </c>
      <c r="X84" s="73">
        <v>5.7000000000000005E-7</v>
      </c>
      <c r="Y84" s="29">
        <v>6.7000000000000004E-7</v>
      </c>
      <c r="Z84" s="21">
        <f t="shared" si="54"/>
        <v>6.1999999999999999E-7</v>
      </c>
      <c r="AA84" s="21">
        <f t="shared" si="55"/>
        <v>4.9999999999999998E-8</v>
      </c>
      <c r="AB84" s="116">
        <f t="shared" si="56"/>
        <v>8.0645161290322578E-2</v>
      </c>
      <c r="AI84" s="19" t="s">
        <v>223</v>
      </c>
    </row>
    <row r="85" spans="1:42" ht="15" customHeight="1">
      <c r="A85" s="19">
        <v>0.1</v>
      </c>
      <c r="B85" s="21">
        <f t="shared" ref="B85" si="60">C85/J85</f>
        <v>0.8</v>
      </c>
      <c r="C85" s="19">
        <f t="shared" ref="C85" si="61">1000000000*D85</f>
        <v>640</v>
      </c>
      <c r="D85" s="21">
        <f t="shared" si="52"/>
        <v>6.4000000000000001E-7</v>
      </c>
      <c r="E85" s="21">
        <f t="shared" si="52"/>
        <v>1.000000000000001E-8</v>
      </c>
      <c r="F85" s="21"/>
      <c r="G85" s="171">
        <f t="shared" ref="G85" si="62">E85/D85</f>
        <v>1.5625000000000014E-2</v>
      </c>
      <c r="H85" s="171"/>
      <c r="I85" s="19">
        <v>500</v>
      </c>
      <c r="J85" s="19">
        <f t="shared" si="53"/>
        <v>800</v>
      </c>
      <c r="K85" s="21">
        <v>7.9999999999999996E-7</v>
      </c>
      <c r="L85" s="21">
        <v>1E-13</v>
      </c>
      <c r="M85" s="19">
        <f t="shared" ref="M85" si="63">L85*1000000000000</f>
        <v>0.1</v>
      </c>
      <c r="N85" s="19" t="s">
        <v>89</v>
      </c>
      <c r="O85" s="19" t="s">
        <v>145</v>
      </c>
      <c r="P85" s="21">
        <v>3.1999999999999999E-5</v>
      </c>
      <c r="Q85" s="19">
        <v>32</v>
      </c>
      <c r="R85" s="19">
        <v>0</v>
      </c>
      <c r="S85" s="19" t="s">
        <v>13</v>
      </c>
      <c r="T85" s="19">
        <f t="shared" si="40"/>
        <v>1000000000000</v>
      </c>
      <c r="U85" s="19">
        <f t="shared" ref="U85" si="64">I85*T85</f>
        <v>500000000000000</v>
      </c>
      <c r="V85" s="23">
        <f t="shared" si="42"/>
        <v>50</v>
      </c>
      <c r="W85" s="31">
        <f t="shared" ref="W85:W86" si="65">Z85/K85</f>
        <v>0.8</v>
      </c>
      <c r="X85" s="73">
        <v>6.3E-7</v>
      </c>
      <c r="Y85" s="29">
        <v>6.5000000000000002E-7</v>
      </c>
      <c r="Z85" s="21">
        <f t="shared" si="54"/>
        <v>6.4000000000000001E-7</v>
      </c>
      <c r="AA85" s="21">
        <f t="shared" si="55"/>
        <v>1.000000000000001E-8</v>
      </c>
      <c r="AB85" s="116">
        <f t="shared" si="56"/>
        <v>1.5625000000000014E-2</v>
      </c>
    </row>
    <row r="86" spans="1:42" ht="15" customHeight="1">
      <c r="A86" s="19">
        <v>0.1</v>
      </c>
      <c r="B86" s="21">
        <f t="shared" ref="B86" si="66">C86/J86</f>
        <v>0.75</v>
      </c>
      <c r="C86" s="19">
        <f t="shared" ref="C86" si="67">1000000000*D86</f>
        <v>600</v>
      </c>
      <c r="D86" s="21">
        <f t="shared" si="52"/>
        <v>5.9999999999999997E-7</v>
      </c>
      <c r="E86" s="21">
        <f t="shared" si="52"/>
        <v>3.9999999999999988E-8</v>
      </c>
      <c r="F86" s="21"/>
      <c r="G86" s="171">
        <f t="shared" ref="G86:G88" si="68">E86/D86</f>
        <v>6.6666666666666652E-2</v>
      </c>
      <c r="H86" s="171"/>
      <c r="I86" s="19">
        <v>800</v>
      </c>
      <c r="J86" s="19">
        <f t="shared" si="53"/>
        <v>800</v>
      </c>
      <c r="K86" s="21">
        <v>7.9999999999999996E-7</v>
      </c>
      <c r="L86" s="21">
        <v>1E-13</v>
      </c>
      <c r="M86" s="19">
        <f t="shared" ref="M86" si="69">L86*1000000000000</f>
        <v>0.1</v>
      </c>
      <c r="N86" s="19" t="s">
        <v>89</v>
      </c>
      <c r="O86" s="19" t="s">
        <v>145</v>
      </c>
      <c r="P86" s="21">
        <v>3.4999999999999997E-5</v>
      </c>
      <c r="Q86" s="19">
        <v>35</v>
      </c>
      <c r="R86" s="19">
        <v>0</v>
      </c>
      <c r="S86" s="19" t="s">
        <v>13</v>
      </c>
      <c r="T86" s="19">
        <f t="shared" si="40"/>
        <v>1000000000000</v>
      </c>
      <c r="U86" s="19">
        <f t="shared" ref="U86" si="70">I86*T86</f>
        <v>800000000000000</v>
      </c>
      <c r="V86" s="23">
        <f t="shared" si="42"/>
        <v>80</v>
      </c>
      <c r="W86" s="31">
        <f t="shared" si="65"/>
        <v>0.75</v>
      </c>
      <c r="X86" s="73">
        <v>5.6000000000000004E-7</v>
      </c>
      <c r="Y86" s="29">
        <v>6.4000000000000001E-7</v>
      </c>
      <c r="Z86" s="21">
        <f t="shared" si="54"/>
        <v>5.9999999999999997E-7</v>
      </c>
      <c r="AA86" s="21">
        <f t="shared" si="55"/>
        <v>3.9999999999999988E-8</v>
      </c>
      <c r="AB86" s="116">
        <f t="shared" si="56"/>
        <v>6.6666666666666652E-2</v>
      </c>
    </row>
    <row r="87" spans="1:42" ht="15" customHeight="1">
      <c r="A87" s="19">
        <v>0.2</v>
      </c>
      <c r="B87" s="21">
        <f t="shared" ref="B87" si="71">C87/J87</f>
        <v>0.75624999999999998</v>
      </c>
      <c r="C87" s="19">
        <f t="shared" ref="C87:C88" si="72">1000000000*D87</f>
        <v>605</v>
      </c>
      <c r="D87" s="19">
        <f t="shared" si="52"/>
        <v>6.0500000000000003E-7</v>
      </c>
      <c r="E87" s="19">
        <f t="shared" si="52"/>
        <v>3.4999999999999983E-8</v>
      </c>
      <c r="G87" s="171">
        <f t="shared" si="68"/>
        <v>5.7851239669421455E-2</v>
      </c>
      <c r="H87" s="171"/>
      <c r="I87" s="19">
        <v>200</v>
      </c>
      <c r="J87" s="19">
        <f t="shared" si="53"/>
        <v>800</v>
      </c>
      <c r="K87" s="21">
        <v>7.9999999999999996E-7</v>
      </c>
      <c r="L87" s="21">
        <v>1E-13</v>
      </c>
      <c r="M87" s="19">
        <f t="shared" ref="M87" si="73">L87*1000000000000</f>
        <v>0.1</v>
      </c>
      <c r="N87" s="19" t="s">
        <v>89</v>
      </c>
      <c r="O87" s="19" t="s">
        <v>145</v>
      </c>
      <c r="R87" s="19">
        <v>0</v>
      </c>
      <c r="S87" s="19" t="s">
        <v>13</v>
      </c>
      <c r="T87" s="19">
        <f t="shared" si="40"/>
        <v>2000000000000</v>
      </c>
      <c r="U87" s="19">
        <f t="shared" ref="U87" si="74">I87*T87</f>
        <v>400000000000000</v>
      </c>
      <c r="V87" s="23">
        <f t="shared" si="42"/>
        <v>40</v>
      </c>
      <c r="W87" s="31">
        <f t="shared" ref="W87" si="75">Z87/K87</f>
        <v>0.75625000000000009</v>
      </c>
      <c r="X87" s="73">
        <v>5.7000000000000005E-7</v>
      </c>
      <c r="Y87" s="29">
        <v>6.4000000000000001E-7</v>
      </c>
      <c r="Z87" s="19">
        <f t="shared" si="54"/>
        <v>6.0500000000000003E-7</v>
      </c>
      <c r="AA87" s="19">
        <f t="shared" si="55"/>
        <v>3.4999999999999983E-8</v>
      </c>
      <c r="AB87" s="20">
        <f t="shared" si="56"/>
        <v>5.7851239669421455E-2</v>
      </c>
    </row>
    <row r="88" spans="1:42" ht="15" customHeight="1">
      <c r="A88" s="19">
        <v>0.2</v>
      </c>
      <c r="B88" s="21">
        <f t="shared" ref="B88" si="76">C88/J88</f>
        <v>0.77500000000000002</v>
      </c>
      <c r="C88" s="19">
        <f t="shared" si="72"/>
        <v>620</v>
      </c>
      <c r="D88" s="19">
        <f t="shared" si="52"/>
        <v>6.1999999999999999E-7</v>
      </c>
      <c r="E88" s="19">
        <f t="shared" si="52"/>
        <v>4.0000000000000041E-8</v>
      </c>
      <c r="G88" s="171">
        <f t="shared" si="68"/>
        <v>6.4516129032258132E-2</v>
      </c>
      <c r="H88" s="171"/>
      <c r="I88" s="19">
        <v>300</v>
      </c>
      <c r="J88" s="19">
        <f t="shared" si="53"/>
        <v>800</v>
      </c>
      <c r="K88" s="21">
        <v>7.9999999999999996E-7</v>
      </c>
      <c r="L88" s="21">
        <v>1E-13</v>
      </c>
      <c r="M88" s="19">
        <f t="shared" ref="M88" si="77">L88*1000000000000</f>
        <v>0.1</v>
      </c>
      <c r="N88" s="19" t="s">
        <v>89</v>
      </c>
      <c r="O88" s="19" t="s">
        <v>145</v>
      </c>
      <c r="R88" s="19">
        <v>0</v>
      </c>
      <c r="S88" s="19" t="s">
        <v>13</v>
      </c>
      <c r="T88" s="19">
        <f t="shared" si="40"/>
        <v>2000000000000</v>
      </c>
      <c r="U88" s="19">
        <f t="shared" ref="U88" si="78">I88*T88</f>
        <v>600000000000000</v>
      </c>
      <c r="V88" s="23">
        <f t="shared" si="42"/>
        <v>60</v>
      </c>
      <c r="W88" s="31">
        <f t="shared" ref="W88:W89" si="79">Z88/K88</f>
        <v>0.77500000000000002</v>
      </c>
      <c r="X88" s="73">
        <v>5.7999999999999995E-7</v>
      </c>
      <c r="Y88" s="29">
        <v>6.6000000000000003E-7</v>
      </c>
      <c r="Z88" s="19">
        <f t="shared" si="54"/>
        <v>6.1999999999999999E-7</v>
      </c>
      <c r="AA88" s="19">
        <f t="shared" si="55"/>
        <v>4.0000000000000041E-8</v>
      </c>
      <c r="AB88" s="20">
        <f t="shared" si="56"/>
        <v>6.4516129032258132E-2</v>
      </c>
    </row>
    <row r="89" spans="1:42" ht="15" customHeight="1">
      <c r="A89" s="19">
        <v>0.2</v>
      </c>
      <c r="B89" s="21">
        <f t="shared" ref="B89" si="80">C89/J89</f>
        <v>0.78125</v>
      </c>
      <c r="C89" s="19">
        <f t="shared" ref="C89" si="81">1000000000*D89</f>
        <v>625</v>
      </c>
      <c r="D89" s="19">
        <f t="shared" si="52"/>
        <v>6.2499999999999995E-7</v>
      </c>
      <c r="E89" s="19">
        <f t="shared" si="52"/>
        <v>2.5000000000000025E-8</v>
      </c>
      <c r="G89" s="171">
        <f t="shared" ref="G89" si="82">E89/D89</f>
        <v>4.0000000000000042E-2</v>
      </c>
      <c r="H89" s="171"/>
      <c r="I89" s="19">
        <v>400</v>
      </c>
      <c r="J89" s="19">
        <f t="shared" si="53"/>
        <v>800</v>
      </c>
      <c r="K89" s="21">
        <v>7.9999999999999996E-7</v>
      </c>
      <c r="L89" s="21">
        <v>1E-13</v>
      </c>
      <c r="M89" s="19">
        <f t="shared" ref="M89" si="83">L89*1000000000000</f>
        <v>0.1</v>
      </c>
      <c r="N89" s="19" t="s">
        <v>89</v>
      </c>
      <c r="O89" s="19" t="s">
        <v>145</v>
      </c>
      <c r="R89" s="19">
        <v>0</v>
      </c>
      <c r="S89" s="19" t="s">
        <v>13</v>
      </c>
      <c r="T89" s="19">
        <f t="shared" si="40"/>
        <v>2000000000000</v>
      </c>
      <c r="U89" s="19">
        <f t="shared" ref="U89" si="84">I89*T89</f>
        <v>800000000000000</v>
      </c>
      <c r="V89" s="23">
        <f t="shared" si="42"/>
        <v>80</v>
      </c>
      <c r="W89" s="31">
        <f t="shared" si="79"/>
        <v>0.78125</v>
      </c>
      <c r="X89" s="73">
        <v>5.9999999999999997E-7</v>
      </c>
      <c r="Y89" s="29">
        <v>6.5000000000000002E-7</v>
      </c>
      <c r="Z89" s="19">
        <f t="shared" si="54"/>
        <v>6.2499999999999995E-7</v>
      </c>
      <c r="AA89" s="19">
        <f t="shared" si="55"/>
        <v>2.5000000000000025E-8</v>
      </c>
      <c r="AB89" s="20">
        <f t="shared" si="56"/>
        <v>4.0000000000000042E-2</v>
      </c>
    </row>
    <row r="90" spans="1:42" ht="15" customHeight="1"/>
    <row r="91" spans="1:42" ht="15" customHeight="1"/>
    <row r="92" spans="1:42" ht="15" customHeight="1"/>
    <row r="93" spans="1:42" ht="15" customHeight="1"/>
    <row r="94" spans="1:42" ht="15" customHeight="1"/>
    <row r="95" spans="1:42" ht="15" customHeight="1"/>
    <row r="96" spans="1:42" ht="15" customHeight="1"/>
    <row r="97" spans="1:50" ht="15" customHeight="1"/>
    <row r="98" spans="1:50" ht="15" customHeight="1"/>
    <row r="99" spans="1:50" ht="15" customHeight="1">
      <c r="AQ99" s="23" t="s">
        <v>5</v>
      </c>
      <c r="AR99" s="23"/>
      <c r="AS99" s="24"/>
      <c r="AT99" s="25"/>
      <c r="AU99" s="25"/>
      <c r="AV99" s="115"/>
      <c r="AW99" s="25"/>
      <c r="AX99" s="25"/>
    </row>
    <row r="100" spans="1:50" ht="15" customHeight="1">
      <c r="AQ100" s="66" t="s">
        <v>31</v>
      </c>
      <c r="AR100" s="66"/>
      <c r="AS100" s="67"/>
      <c r="AT100" s="67"/>
      <c r="AU100" s="67"/>
      <c r="AV100" s="68"/>
      <c r="AW100" s="68"/>
    </row>
    <row r="101" spans="1:50" ht="15" customHeight="1">
      <c r="AQ101" s="13" t="s">
        <v>20</v>
      </c>
      <c r="AR101" s="113"/>
      <c r="AS101" s="13" t="s">
        <v>21</v>
      </c>
      <c r="AT101" s="30" t="s">
        <v>24</v>
      </c>
      <c r="AU101" s="30"/>
      <c r="AV101" s="118" t="s">
        <v>22</v>
      </c>
      <c r="AW101" s="14" t="s">
        <v>23</v>
      </c>
    </row>
    <row r="102" spans="1:50" ht="15" customHeight="1">
      <c r="AQ102" s="23">
        <v>0.2</v>
      </c>
      <c r="AR102" s="23"/>
      <c r="AS102" s="31">
        <f>AVERAGE(AF2:AF15)</f>
        <v>7.5570181405895703E-7</v>
      </c>
      <c r="AT102" s="21">
        <f>MAX(AG2:AG9)</f>
        <v>4.7999999999999967E-8</v>
      </c>
      <c r="AU102" s="21"/>
      <c r="AV102" s="119">
        <f>AS102*1000000000</f>
        <v>755.70181405895698</v>
      </c>
      <c r="AW102" s="33">
        <f>1000000000*AT102</f>
        <v>47.999999999999964</v>
      </c>
      <c r="AX102" s="19" t="s">
        <v>27</v>
      </c>
    </row>
    <row r="103" spans="1:50" ht="15" customHeight="1">
      <c r="AQ103" s="23">
        <v>0.28799999999999998</v>
      </c>
      <c r="AR103" s="23"/>
      <c r="AS103" s="31">
        <f>AVERAGE(AF31:AF34)</f>
        <v>7.2174999999999991E-7</v>
      </c>
      <c r="AT103" s="21">
        <f>MAX(AG31:AG34)</f>
        <v>3.2500000000000006E-8</v>
      </c>
      <c r="AU103" s="21"/>
      <c r="AV103" s="119">
        <f>AS103*1000000000</f>
        <v>721.74999999999989</v>
      </c>
      <c r="AW103" s="33">
        <f>1000000000*AT103</f>
        <v>32.500000000000007</v>
      </c>
      <c r="AX103" s="19" t="s">
        <v>27</v>
      </c>
    </row>
    <row r="104" spans="1:50" ht="15" customHeight="1">
      <c r="AQ104" s="23">
        <v>0.313</v>
      </c>
      <c r="AR104" s="23"/>
      <c r="AS104" s="31">
        <f>AVERAGE(AF20:AF30)</f>
        <v>7.469859737785435E-7</v>
      </c>
      <c r="AT104" s="21">
        <f>MAX(AG20:AG30)</f>
        <v>5.3750000000000015E-8</v>
      </c>
      <c r="AU104" s="21"/>
      <c r="AV104" s="119">
        <f>AS104*1000000000</f>
        <v>746.98597377854355</v>
      </c>
      <c r="AW104" s="33">
        <f>1000000000*AT104</f>
        <v>53.750000000000014</v>
      </c>
      <c r="AX104" s="19" t="s">
        <v>28</v>
      </c>
    </row>
    <row r="105" spans="1:50" ht="15" customHeight="1">
      <c r="AQ105" s="23">
        <v>0.5</v>
      </c>
      <c r="AR105" s="23"/>
      <c r="AS105" s="31" t="e">
        <f>AVERAGE(#REF!)</f>
        <v>#REF!</v>
      </c>
      <c r="AT105" s="21" t="e">
        <f>MAX(#REF!)</f>
        <v>#REF!</v>
      </c>
      <c r="AU105" s="21"/>
      <c r="AV105" s="119" t="e">
        <f>AS105*1000000000</f>
        <v>#REF!</v>
      </c>
      <c r="AW105" s="33" t="e">
        <f>1000000000*AT105</f>
        <v>#REF!</v>
      </c>
      <c r="AX105" s="19" t="s">
        <v>27</v>
      </c>
    </row>
    <row r="106" spans="1:50" ht="15" customHeight="1">
      <c r="AQ106" s="15">
        <v>0.85</v>
      </c>
      <c r="AR106" s="15"/>
      <c r="AS106" s="34">
        <f>AVERAGE(AF16:AF19)</f>
        <v>7.6799999999999999E-7</v>
      </c>
      <c r="AT106" s="35">
        <f>MAX(AG16:AG17)</f>
        <v>4.8000000000000006E-8</v>
      </c>
      <c r="AU106" s="35"/>
      <c r="AV106" s="120">
        <f>AS106*1000000000</f>
        <v>768</v>
      </c>
      <c r="AW106" s="37">
        <f>1000000000*AT106</f>
        <v>48.000000000000007</v>
      </c>
      <c r="AX106" s="19" t="s">
        <v>27</v>
      </c>
    </row>
    <row r="107" spans="1:50" ht="15" customHeight="1">
      <c r="AQ107" s="23"/>
      <c r="AR107" s="23"/>
      <c r="AS107" s="23"/>
      <c r="AV107" s="20"/>
    </row>
    <row r="108" spans="1:50" ht="15" customHeight="1">
      <c r="AQ108" s="23"/>
      <c r="AR108" s="23"/>
      <c r="AS108" s="23"/>
      <c r="AV108" s="20"/>
    </row>
    <row r="109" spans="1:50" ht="15" customHeight="1">
      <c r="AQ109" s="23" t="s">
        <v>25</v>
      </c>
      <c r="AR109" s="23"/>
      <c r="AS109" s="23" t="s">
        <v>32</v>
      </c>
      <c r="AT109" s="19" t="s">
        <v>33</v>
      </c>
      <c r="AV109" s="20"/>
    </row>
    <row r="110" spans="1:50" ht="15" customHeight="1">
      <c r="AQ110" s="23">
        <v>0.2</v>
      </c>
      <c r="AR110" s="23"/>
      <c r="AS110" s="31">
        <f>AVERAGE(Z2:Z12)</f>
        <v>7.1999999999999999E-7</v>
      </c>
      <c r="AT110" s="21">
        <f>AVERAGE(AA2:AA12)</f>
        <v>7.9999999999999975E-8</v>
      </c>
      <c r="AU110" s="21"/>
      <c r="AV110" s="20"/>
    </row>
    <row r="111" spans="1:50" ht="15" customHeight="1">
      <c r="AQ111" s="23">
        <v>0.85</v>
      </c>
      <c r="AR111" s="23"/>
      <c r="AS111" s="31">
        <f>AVERAGE(Z16:Z19)</f>
        <v>7.6499999999999998E-7</v>
      </c>
      <c r="AT111" s="21">
        <f>AVERAGE(AA16:AA19)</f>
        <v>5.5000000000000003E-8</v>
      </c>
      <c r="AU111" s="21"/>
      <c r="AV111" s="20"/>
    </row>
    <row r="112" spans="1:50">
      <c r="A112" s="19" t="s">
        <v>26</v>
      </c>
      <c r="B112" s="21">
        <v>0</v>
      </c>
      <c r="C112" s="19">
        <v>0</v>
      </c>
      <c r="D112" s="19">
        <v>0</v>
      </c>
      <c r="E112" s="19">
        <v>0</v>
      </c>
      <c r="G112" s="171">
        <v>0</v>
      </c>
      <c r="H112" s="171"/>
      <c r="I112" s="19">
        <v>10</v>
      </c>
      <c r="J112" s="21">
        <f t="shared" ref="J112:J115" si="85">1000000000*K112</f>
        <v>800</v>
      </c>
      <c r="K112" s="31">
        <v>7.9999999999999996E-7</v>
      </c>
      <c r="L112" s="57">
        <v>1E-13</v>
      </c>
      <c r="M112" s="57">
        <f t="shared" ref="M112" si="86">L112*1000000000000</f>
        <v>0.1</v>
      </c>
      <c r="N112" s="19" t="s">
        <v>95</v>
      </c>
      <c r="O112" s="19" t="s">
        <v>145</v>
      </c>
      <c r="P112" s="21">
        <f>Q112*0.000001</f>
        <v>9.9999999999999991E-6</v>
      </c>
      <c r="Q112" s="19">
        <v>10</v>
      </c>
      <c r="R112" s="19">
        <v>0</v>
      </c>
      <c r="S112" s="19" t="s">
        <v>13</v>
      </c>
      <c r="T112" s="31" t="e">
        <f>A112/L112</f>
        <v>#VALUE!</v>
      </c>
      <c r="U112" s="31" t="e">
        <f t="shared" ref="U112" si="87">I112*T112</f>
        <v>#VALUE!</v>
      </c>
      <c r="V112" s="32" t="e">
        <f>I112*A112</f>
        <v>#VALUE!</v>
      </c>
      <c r="W112" s="31">
        <f t="shared" ref="W112:W113" si="88">AF112/K112</f>
        <v>0</v>
      </c>
    </row>
    <row r="113" spans="1:28">
      <c r="A113" s="19" t="s">
        <v>26</v>
      </c>
      <c r="B113" s="21">
        <f t="shared" ref="B113:B115" si="89">C113/J113</f>
        <v>0.86250000000000004</v>
      </c>
      <c r="C113" s="19">
        <f t="shared" ref="C113:C115" si="90">1000000000*D113</f>
        <v>690</v>
      </c>
      <c r="D113" s="21">
        <f t="shared" ref="D113:E115" si="91">Z113</f>
        <v>6.8999999999999996E-7</v>
      </c>
      <c r="E113" s="21">
        <f t="shared" si="91"/>
        <v>2.9999999999999977E-8</v>
      </c>
      <c r="F113" s="21"/>
      <c r="G113" s="171">
        <f t="shared" ref="G113:G115" si="92">E113/D113</f>
        <v>4.3478260869565188E-2</v>
      </c>
      <c r="H113" s="171"/>
      <c r="I113" s="19">
        <v>10</v>
      </c>
      <c r="J113" s="21">
        <f t="shared" si="85"/>
        <v>800</v>
      </c>
      <c r="K113" s="31">
        <v>7.9999999999999996E-7</v>
      </c>
      <c r="L113" s="57">
        <v>1E-13</v>
      </c>
      <c r="M113" s="57">
        <f t="shared" ref="M113:M114" si="93">L113*1000000000000</f>
        <v>0.1</v>
      </c>
      <c r="N113" s="19" t="s">
        <v>95</v>
      </c>
      <c r="O113" s="19" t="s">
        <v>145</v>
      </c>
      <c r="P113" s="21">
        <f>Q113*0.000001</f>
        <v>1.3099999999999998E-5</v>
      </c>
      <c r="Q113" s="19">
        <v>13.1</v>
      </c>
      <c r="W113" s="31">
        <f t="shared" si="88"/>
        <v>0</v>
      </c>
      <c r="X113" s="73">
        <v>6.6000000000000003E-7</v>
      </c>
      <c r="Y113" s="29">
        <v>7.1999999999999999E-7</v>
      </c>
      <c r="Z113" s="35">
        <f>(X113+Y113)/2</f>
        <v>6.8999999999999996E-7</v>
      </c>
      <c r="AA113" s="35">
        <f>(Y113-X113)/2</f>
        <v>2.9999999999999977E-8</v>
      </c>
      <c r="AB113" s="117">
        <f>AA113/Z113</f>
        <v>4.3478260869565188E-2</v>
      </c>
    </row>
    <row r="114" spans="1:28">
      <c r="A114" s="19" t="s">
        <v>26</v>
      </c>
      <c r="B114" s="21">
        <f t="shared" si="89"/>
        <v>0.83125000000000004</v>
      </c>
      <c r="C114" s="19">
        <f t="shared" si="90"/>
        <v>665</v>
      </c>
      <c r="D114" s="21">
        <f t="shared" si="91"/>
        <v>6.6499999999999999E-7</v>
      </c>
      <c r="E114" s="21">
        <f t="shared" si="91"/>
        <v>3.4999999999999983E-8</v>
      </c>
      <c r="F114" s="21"/>
      <c r="G114" s="171">
        <f t="shared" si="92"/>
        <v>5.2631578947368397E-2</v>
      </c>
      <c r="H114" s="171"/>
      <c r="I114" s="19">
        <v>10</v>
      </c>
      <c r="J114" s="21">
        <f t="shared" si="85"/>
        <v>800</v>
      </c>
      <c r="K114" s="31">
        <v>7.9999999999999996E-7</v>
      </c>
      <c r="L114" s="57">
        <v>1E-13</v>
      </c>
      <c r="M114" s="57">
        <f t="shared" si="93"/>
        <v>0.1</v>
      </c>
      <c r="N114" s="19" t="s">
        <v>95</v>
      </c>
      <c r="O114" s="19" t="s">
        <v>145</v>
      </c>
      <c r="P114" s="21">
        <f t="shared" ref="P114:P115" si="94">Q114*0.000001</f>
        <v>1.5399999999999998E-5</v>
      </c>
      <c r="Q114" s="19">
        <v>15.4</v>
      </c>
      <c r="X114" s="73">
        <v>6.3E-7</v>
      </c>
      <c r="Y114" s="29">
        <v>6.9999999999999997E-7</v>
      </c>
      <c r="Z114" s="35">
        <f>(X114+Y114)/2</f>
        <v>6.6499999999999999E-7</v>
      </c>
      <c r="AA114" s="35">
        <f>(Y114-X114)/2</f>
        <v>3.4999999999999983E-8</v>
      </c>
      <c r="AB114" s="117">
        <f>AA114/Z114</f>
        <v>5.2631578947368397E-2</v>
      </c>
    </row>
    <row r="115" spans="1:28">
      <c r="A115" s="19" t="s">
        <v>26</v>
      </c>
      <c r="B115" s="21">
        <f t="shared" si="89"/>
        <v>0.85</v>
      </c>
      <c r="C115" s="19">
        <f t="shared" si="90"/>
        <v>680</v>
      </c>
      <c r="D115" s="21">
        <f t="shared" si="91"/>
        <v>6.8000000000000005E-7</v>
      </c>
      <c r="E115" s="21">
        <f t="shared" si="91"/>
        <v>1.9999999999999967E-8</v>
      </c>
      <c r="F115" s="21"/>
      <c r="G115" s="171">
        <f t="shared" si="92"/>
        <v>2.9411764705882304E-2</v>
      </c>
      <c r="H115" s="171"/>
      <c r="I115" s="19">
        <v>10</v>
      </c>
      <c r="J115" s="21">
        <f t="shared" si="85"/>
        <v>800</v>
      </c>
      <c r="K115" s="31">
        <v>7.9999999999999996E-7</v>
      </c>
      <c r="L115" s="57">
        <v>1E-13</v>
      </c>
      <c r="M115" s="57">
        <f t="shared" ref="M115" si="95">L115*1000000000000</f>
        <v>0.1</v>
      </c>
      <c r="N115" s="19" t="s">
        <v>95</v>
      </c>
      <c r="O115" s="19" t="s">
        <v>145</v>
      </c>
      <c r="P115" s="21">
        <f t="shared" si="94"/>
        <v>1.9999999999999998E-5</v>
      </c>
      <c r="Q115" s="19">
        <v>20</v>
      </c>
      <c r="X115" s="73">
        <v>6.6000000000000003E-7</v>
      </c>
      <c r="Y115" s="29">
        <v>6.9999999999999997E-7</v>
      </c>
      <c r="Z115" s="35">
        <f>(X115+Y115)/2</f>
        <v>6.8000000000000005E-7</v>
      </c>
      <c r="AA115" s="35">
        <f>(Y115-X115)/2</f>
        <v>1.9999999999999967E-8</v>
      </c>
      <c r="AB115" s="117">
        <f>AA115/Z115</f>
        <v>2.9411764705882304E-2</v>
      </c>
    </row>
  </sheetData>
  <autoFilter ref="A1:AJ89">
    <filterColumn colId="1">
      <customFilters>
        <customFilter operator="notEqual" val=" "/>
      </customFilters>
    </filterColumn>
  </autoFilter>
  <sortState ref="A2:AY111">
    <sortCondition ref="K2:K111"/>
    <sortCondition ref="I2:I111"/>
    <sortCondition ref="A2:A111"/>
  </sortState>
  <conditionalFormatting sqref="AH116:AH1048576 AH1:AH111">
    <cfRule type="cellIs" dxfId="10" priority="11" operator="lessThan">
      <formula>0</formula>
    </cfRule>
  </conditionalFormatting>
  <conditionalFormatting sqref="C2:C82">
    <cfRule type="cellIs" dxfId="9" priority="10" operator="lessThan">
      <formula>600</formula>
    </cfRule>
  </conditionalFormatting>
  <conditionalFormatting sqref="C112:C115">
    <cfRule type="cellIs" dxfId="8" priority="9" operator="lessThan">
      <formula>600</formula>
    </cfRule>
  </conditionalFormatting>
  <conditionalFormatting sqref="C83">
    <cfRule type="cellIs" dxfId="7" priority="8" operator="lessThan">
      <formula>600</formula>
    </cfRule>
  </conditionalFormatting>
  <conditionalFormatting sqref="C84">
    <cfRule type="cellIs" dxfId="6" priority="7" operator="lessThan">
      <formula>600</formula>
    </cfRule>
  </conditionalFormatting>
  <conditionalFormatting sqref="C85">
    <cfRule type="cellIs" dxfId="5" priority="6" operator="lessThan">
      <formula>600</formula>
    </cfRule>
  </conditionalFormatting>
  <conditionalFormatting sqref="C86">
    <cfRule type="cellIs" dxfId="4" priority="5" operator="lessThan">
      <formula>600</formula>
    </cfRule>
  </conditionalFormatting>
  <conditionalFormatting sqref="C87">
    <cfRule type="cellIs" dxfId="3" priority="4" operator="lessThan">
      <formula>600</formula>
    </cfRule>
  </conditionalFormatting>
  <conditionalFormatting sqref="C88">
    <cfRule type="cellIs" dxfId="2" priority="3" operator="lessThan">
      <formula>600</formula>
    </cfRule>
  </conditionalFormatting>
  <conditionalFormatting sqref="C89">
    <cfRule type="cellIs" dxfId="1" priority="2" operator="lessThan">
      <formula>600</formula>
    </cfRule>
  </conditionalFormatting>
  <conditionalFormatting sqref="G1:G1048576">
    <cfRule type="cellIs" dxfId="0" priority="1" operator="equal">
      <formula>0</formula>
    </cfRule>
  </conditionalFormatting>
  <hyperlinks>
    <hyperlink ref="AI37:AI40" r:id="rId1" display="\\MEB-JEOL\Rémi\"/>
    <hyperlink ref="AI41:AI42" r:id="rId2" display="\\MEB-JEOL\Rémi\"/>
    <hyperlink ref="AI43:AI47" r:id="rId3" display="\\MEB-JEOL\Rémi\"/>
    <hyperlink ref="AI65" r:id="rId4"/>
    <hyperlink ref="AI66" r:id="rId5"/>
    <hyperlink ref="AI5" r:id="rId6"/>
    <hyperlink ref="AI9" r:id="rId7"/>
    <hyperlink ref="AI22" r:id="rId8"/>
    <hyperlink ref="AI53:AI55" r:id="rId9" display="\\MEB-JEOL\Rémi\"/>
    <hyperlink ref="AI12" r:id="rId10"/>
    <hyperlink ref="AI25" r:id="rId11"/>
    <hyperlink ref="AI58:AI59" r:id="rId12" display="\\MEB-JEOL\Rémi\"/>
    <hyperlink ref="AI7" r:id="rId13"/>
    <hyperlink ref="AI14" r:id="rId14"/>
    <hyperlink ref="AI27" r:id="rId15"/>
    <hyperlink ref="AI35" r:id="rId16"/>
    <hyperlink ref="AI69" r:id="rId17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Incertitudes</vt:lpstr>
      <vt:lpstr>RipplesSpacing-Litteratur</vt:lpstr>
      <vt:lpstr>RipplesSpacing-LP3</vt:lpstr>
      <vt:lpstr>LambdaVSwavelength</vt:lpstr>
      <vt:lpstr>PeriodVSN</vt:lpstr>
      <vt:lpstr>PeriodNormWithFluence</vt:lpstr>
      <vt:lpstr>PeriodWithTau</vt:lpstr>
      <vt:lpstr>SpotSizeEffect</vt:lpstr>
      <vt:lpstr>Mixed-N x I vs Lambda</vt:lpstr>
      <vt:lpstr>'RipplesSpacing-LP3'!Criteres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</dc:creator>
  <cp:lastModifiedBy>Thibault</cp:lastModifiedBy>
  <dcterms:created xsi:type="dcterms:W3CDTF">2010-05-31T12:12:42Z</dcterms:created>
  <dcterms:modified xsi:type="dcterms:W3CDTF">2011-10-28T19:05:25Z</dcterms:modified>
</cp:coreProperties>
</file>